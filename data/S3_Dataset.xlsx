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-7080" yWindow="720" windowWidth="25596" windowHeight="12504" tabRatio="500"/>
  </bookViews>
  <sheets>
    <sheet name="Sheet 1" sheetId="2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<sst xmlns="http://schemas.openxmlformats.org/spreadsheetml/2006/main" count="724" uniqueCount="267">
  <si>
    <r>
      <rPr>
        <b/>
        <sz val="26"/>
        <color theme="1"/>
        <rFont val="Calibri"/>
        <family val="2"/>
        <scheme val="minor"/>
      </rPr>
      <t>Distances of mutations from replication origins and termination zones</t>
    </r>
    <r>
      <rPr>
        <b/>
        <sz val="12"/>
        <color theme="1"/>
        <rFont val="Calibri"/>
        <family val="2"/>
        <scheme val="minor"/>
      </rPr>
      <t>.</t>
    </r>
  </si>
  <si>
    <t xml:space="preserve">Mutational distance (kb) </t>
  </si>
  <si>
    <t>Fractional distance</t>
  </si>
  <si>
    <t>Lineage</t>
  </si>
  <si>
    <t>Division</t>
  </si>
  <si>
    <t>Chr</t>
  </si>
  <si>
    <t>Mutation ID</t>
  </si>
  <si>
    <t>position (kb from end)</t>
  </si>
  <si>
    <t>to nearest Origin</t>
  </si>
  <si>
    <t>to nearest Termination zone</t>
  </si>
  <si>
    <t>Replicon Size</t>
  </si>
  <si>
    <t>origin</t>
  </si>
  <si>
    <t>H</t>
  </si>
  <si>
    <t>NC_001141:356747</t>
  </si>
  <si>
    <t>C</t>
  </si>
  <si>
    <t>NC_001140:506614</t>
  </si>
  <si>
    <t>B</t>
  </si>
  <si>
    <t>NC_001144:975218</t>
  </si>
  <si>
    <t>E</t>
  </si>
  <si>
    <t>NC_001139:393671</t>
  </si>
  <si>
    <t>NC_001144:936485</t>
  </si>
  <si>
    <t>G1</t>
  </si>
  <si>
    <t>NC_001136:209361</t>
  </si>
  <si>
    <t>F</t>
  </si>
  <si>
    <t>NC_001147:650894</t>
  </si>
  <si>
    <t>NC_001147:496401</t>
  </si>
  <si>
    <t>NC_001145:896428</t>
  </si>
  <si>
    <t>NC_001142:159942</t>
  </si>
  <si>
    <t>NC_001144:590706</t>
  </si>
  <si>
    <t>NC_001144:934735</t>
  </si>
  <si>
    <t>NC_001135:114784</t>
  </si>
  <si>
    <t>D</t>
  </si>
  <si>
    <t>NC_001148:871696</t>
  </si>
  <si>
    <t>NC_001141:354336</t>
  </si>
  <si>
    <t>NC_001135:175003</t>
  </si>
  <si>
    <t>NC_001146:691388</t>
  </si>
  <si>
    <t>NC_001148:511901</t>
  </si>
  <si>
    <t>NC_001147:1051921</t>
  </si>
  <si>
    <t>NC_001146:616355</t>
  </si>
  <si>
    <t>NC_001146:159628</t>
  </si>
  <si>
    <t>NC_001137:353146</t>
  </si>
  <si>
    <t>NC_001145:614756</t>
  </si>
  <si>
    <t>NC_001139:655535</t>
  </si>
  <si>
    <t>NC_001134:418834</t>
  </si>
  <si>
    <t>NC_001147:41196</t>
  </si>
  <si>
    <t>NC_001144:819022</t>
  </si>
  <si>
    <t>NC_001136:921914</t>
  </si>
  <si>
    <t>NC_001145:810967</t>
  </si>
  <si>
    <t>NC_001144:15031</t>
  </si>
  <si>
    <t>NC_001148:121643</t>
  </si>
  <si>
    <t>NC_001139:775540</t>
  </si>
  <si>
    <t>NC_001145:657215</t>
  </si>
  <si>
    <t>NC_001140:197488</t>
  </si>
  <si>
    <t>NC_001140:383032</t>
  </si>
  <si>
    <t>NC_001144:930572</t>
  </si>
  <si>
    <t>NC_001144:155993</t>
  </si>
  <si>
    <t>NC_001142:455567</t>
  </si>
  <si>
    <t>NC_001146:182190</t>
  </si>
  <si>
    <t>NC_001141:349344</t>
  </si>
  <si>
    <t>G2</t>
  </si>
  <si>
    <t>NC_001139:262437</t>
  </si>
  <si>
    <t>NC_001138:115696</t>
  </si>
  <si>
    <t>NC_001139:482734</t>
  </si>
  <si>
    <t>NC_001134:772158</t>
  </si>
  <si>
    <t>NC_001135:202135</t>
  </si>
  <si>
    <t>NC_001141:347508</t>
  </si>
  <si>
    <t>NC_001148:190338</t>
  </si>
  <si>
    <t>NC_001136:1314166</t>
  </si>
  <si>
    <t>NC_001136:1518207</t>
  </si>
  <si>
    <t>NC_001139:1058036</t>
  </si>
  <si>
    <t>NC_001146:500390</t>
  </si>
  <si>
    <t>NC_001143:508792</t>
  </si>
  <si>
    <t>NC_001134:125403</t>
  </si>
  <si>
    <t>NC_001139:885384</t>
  </si>
  <si>
    <t>NC_001139:197087</t>
  </si>
  <si>
    <t>NC_001142:457445</t>
  </si>
  <si>
    <t>NC_001147:285071</t>
  </si>
  <si>
    <t>NC_001146:658499</t>
  </si>
  <si>
    <t>NC_001146:155274</t>
  </si>
  <si>
    <t>NC_001139:903670</t>
  </si>
  <si>
    <t>NC_001136:1315295</t>
  </si>
  <si>
    <t>NC_001143:5567</t>
  </si>
  <si>
    <t>NC_001145:497608</t>
  </si>
  <si>
    <t>NC_001140:439873</t>
  </si>
  <si>
    <t>NC_001148:64427</t>
  </si>
  <si>
    <t>NC_001144:360160</t>
  </si>
  <si>
    <t>NC_001136:567200</t>
  </si>
  <si>
    <t>NC_001134:734942</t>
  </si>
  <si>
    <t>NC_001145:439915</t>
  </si>
  <si>
    <t>NC_001143:322946</t>
  </si>
  <si>
    <t>NC_001148:551975</t>
  </si>
  <si>
    <t>NC_001143:520205</t>
  </si>
  <si>
    <t>NC_001145:666608</t>
  </si>
  <si>
    <t>NC_001147:355814</t>
  </si>
  <si>
    <t>NC_001148:624634</t>
  </si>
  <si>
    <t>NC_001145:766019</t>
  </si>
  <si>
    <t>NC_001142:486928</t>
  </si>
  <si>
    <t>NC_001135:222087</t>
  </si>
  <si>
    <t>NC_001145:829039</t>
  </si>
  <si>
    <t>NC_001145:531833</t>
  </si>
  <si>
    <t>NC_001141:341917</t>
  </si>
  <si>
    <t>NC_001146:96148</t>
  </si>
  <si>
    <t>NC_001144:131307</t>
  </si>
  <si>
    <t>NC_001139:1012036</t>
  </si>
  <si>
    <t>NC_001137:397628</t>
  </si>
  <si>
    <t>NC_001139:10329</t>
  </si>
  <si>
    <t>NC_001148:781936</t>
  </si>
  <si>
    <t>NC_001144:355336</t>
  </si>
  <si>
    <t>NC_001136:1301071</t>
  </si>
  <si>
    <t>NC_001142:599713</t>
  </si>
  <si>
    <t>NC_001148:207805</t>
  </si>
  <si>
    <t>NC_001137:84339</t>
  </si>
  <si>
    <t>NC_001136:255059</t>
  </si>
  <si>
    <t>NC_001145:129179</t>
  </si>
  <si>
    <t>NC_001139:591491</t>
  </si>
  <si>
    <t>NC_001136:486028</t>
  </si>
  <si>
    <t>NC_001136:1374405</t>
  </si>
  <si>
    <t>NC_001146:176254</t>
  </si>
  <si>
    <t>NC_001148:680504</t>
  </si>
  <si>
    <t>NC_001139:1076279</t>
  </si>
  <si>
    <t>NC_001144:1010242</t>
  </si>
  <si>
    <t>NC_001145:83476</t>
  </si>
  <si>
    <t>NC_001144:352294</t>
  </si>
  <si>
    <t>NC_001145:494064</t>
  </si>
  <si>
    <t>NC_001143:65104</t>
  </si>
  <si>
    <t>NC_001136:572980</t>
  </si>
  <si>
    <t>NC_001145:173524</t>
  </si>
  <si>
    <t>NC_001138:14785</t>
  </si>
  <si>
    <t>NC_001148:621444</t>
  </si>
  <si>
    <t>NC_001145:282152</t>
  </si>
  <si>
    <t>NC_001136:138965</t>
  </si>
  <si>
    <t>NC_001148:40338</t>
  </si>
  <si>
    <t>NC_001139:912993</t>
  </si>
  <si>
    <t>NC_001143:543991</t>
  </si>
  <si>
    <t>NC_001136:1072109</t>
  </si>
  <si>
    <t>NC_001142:54556</t>
  </si>
  <si>
    <t>NC_001148:371224</t>
  </si>
  <si>
    <t>NC_001139:913654</t>
  </si>
  <si>
    <t>NC_001137:310232</t>
  </si>
  <si>
    <t>NC_001146:445915</t>
  </si>
  <si>
    <t>NC_001144:254832</t>
  </si>
  <si>
    <t>NC_001137:549354</t>
  </si>
  <si>
    <t>NC_001137:138748</t>
  </si>
  <si>
    <t>NC_001140:210450</t>
  </si>
  <si>
    <t>NC_001147:835618</t>
  </si>
  <si>
    <t>NC_001146:65683</t>
  </si>
  <si>
    <t>NC_001136:576036</t>
  </si>
  <si>
    <t>NC_001146:152023</t>
  </si>
  <si>
    <t>NC_001147:551251</t>
  </si>
  <si>
    <t>NC_001147:313693</t>
  </si>
  <si>
    <t>NC_001134:490888</t>
  </si>
  <si>
    <t>NC_001137:166467</t>
  </si>
  <si>
    <t>NC_001147:794381</t>
  </si>
  <si>
    <t>NC_001144:256432</t>
  </si>
  <si>
    <t>NC_001136:260814</t>
  </si>
  <si>
    <t>NC_001142:248170</t>
  </si>
  <si>
    <t>NC_001140:378205</t>
  </si>
  <si>
    <t>NC_001142:434551</t>
  </si>
  <si>
    <t>NC_001144:233030</t>
  </si>
  <si>
    <t>NC_001143:409350</t>
  </si>
  <si>
    <t>NC_001139:542759</t>
  </si>
  <si>
    <t>NC_001136:1501396</t>
  </si>
  <si>
    <t>NC_001134:275757</t>
  </si>
  <si>
    <t>NC_001134:746299</t>
  </si>
  <si>
    <t>NC_001139:362409</t>
  </si>
  <si>
    <t>NC_001141:258842</t>
  </si>
  <si>
    <t>NC_001136:852745</t>
  </si>
  <si>
    <t>NC_001138:99788</t>
  </si>
  <si>
    <t>NC_001142:144689</t>
  </si>
  <si>
    <t>NC_001148:143063</t>
  </si>
  <si>
    <t>NC_001144:55034</t>
  </si>
  <si>
    <t>NC_001140:49048</t>
  </si>
  <si>
    <t>NC_001136:1265086</t>
  </si>
  <si>
    <t>NC_001136:482764</t>
  </si>
  <si>
    <t>NC_001140:149046</t>
  </si>
  <si>
    <t>NC_001141:261693</t>
  </si>
  <si>
    <t>NC_001143:127515</t>
  </si>
  <si>
    <t>NC_001141:326382</t>
  </si>
  <si>
    <t>NC_001136:656879</t>
  </si>
  <si>
    <t>NC_001143:169246</t>
  </si>
  <si>
    <t>NC_001144:205738</t>
  </si>
  <si>
    <t>NC_001146:578522</t>
  </si>
  <si>
    <t>NC_001139:1043995</t>
  </si>
  <si>
    <t>NC_001144:309497</t>
  </si>
  <si>
    <t>NC_001136:1327197</t>
  </si>
  <si>
    <t>NC_001133:39323</t>
  </si>
  <si>
    <t>NC_001139:48911</t>
  </si>
  <si>
    <t>NC_001144:332824</t>
  </si>
  <si>
    <t>NC_001148:131088</t>
  </si>
  <si>
    <t>NC_001147:803669</t>
  </si>
  <si>
    <t>NC_001148:792251</t>
  </si>
  <si>
    <t>NC_001136:1133213</t>
  </si>
  <si>
    <t>NC_001142:644957</t>
  </si>
  <si>
    <t>NC_001144:203665</t>
  </si>
  <si>
    <t>NC_001146:777924</t>
  </si>
  <si>
    <t>NC_001142:668893</t>
  </si>
  <si>
    <t>NC_001139:92981</t>
  </si>
  <si>
    <t>NC_001136:660517</t>
  </si>
  <si>
    <t>NC_001139:27644</t>
  </si>
  <si>
    <t>NC_001142:43582</t>
  </si>
  <si>
    <t>NC_001146:758429</t>
  </si>
  <si>
    <t>NC_001144:43833</t>
  </si>
  <si>
    <t>NC_001145:115722</t>
  </si>
  <si>
    <t>NC_001142:319409</t>
  </si>
  <si>
    <t>NC_001146:705132</t>
  </si>
  <si>
    <t>NC_001147:141658</t>
  </si>
  <si>
    <t>NC_001138:264204</t>
  </si>
  <si>
    <t>NC_001143:403599</t>
  </si>
  <si>
    <t>NC_001136:1050191</t>
  </si>
  <si>
    <t>NC_001136:1050188</t>
  </si>
  <si>
    <t>NC_001139:269912</t>
  </si>
  <si>
    <t>NC_001145:399389</t>
  </si>
  <si>
    <t>NC_001136:154572</t>
  </si>
  <si>
    <t>NC_001147:388446</t>
  </si>
  <si>
    <t>NC_001139:1038646</t>
  </si>
  <si>
    <t>NC_001143:119011</t>
  </si>
  <si>
    <t>NC_001134:134773</t>
  </si>
  <si>
    <t>NC_001147:936127</t>
  </si>
  <si>
    <t>NC_001139:936297</t>
  </si>
  <si>
    <t>NC_001136:595059</t>
  </si>
  <si>
    <t>NC_001145:742549</t>
  </si>
  <si>
    <t>NC_001143:178695</t>
  </si>
  <si>
    <t>NC_001144:321960</t>
  </si>
  <si>
    <t>NC_001134:12825</t>
  </si>
  <si>
    <t>NC_001140:325389</t>
  </si>
  <si>
    <t>NC_001136:276126</t>
  </si>
  <si>
    <t>NC_001147:584566</t>
  </si>
  <si>
    <t>NC_001148:395940</t>
  </si>
  <si>
    <t>NC_001142:665842</t>
  </si>
  <si>
    <t>NC_001143:317557</t>
  </si>
  <si>
    <t>NC_001141:382065</t>
  </si>
  <si>
    <t>NC_001139:854008</t>
  </si>
  <si>
    <t>NC_001144:699156</t>
  </si>
  <si>
    <t>NC_001146:476293</t>
  </si>
  <si>
    <t>NC_001147:195666</t>
  </si>
  <si>
    <t>NC_001137:160507</t>
  </si>
  <si>
    <t>NC_001144:392120</t>
  </si>
  <si>
    <t>NC_001147:866071</t>
  </si>
  <si>
    <t>NC_001144:981885</t>
  </si>
  <si>
    <t>NC_001143:78623</t>
  </si>
  <si>
    <t>NC_001144:114121</t>
  </si>
  <si>
    <t>NC_001143:9724</t>
  </si>
  <si>
    <t>NC_001136:615274</t>
  </si>
  <si>
    <t>NC_001139:42868</t>
  </si>
  <si>
    <t>NC_001147:815308</t>
  </si>
  <si>
    <t>NC_001136:175114</t>
  </si>
  <si>
    <t>NC_001144:700701</t>
  </si>
  <si>
    <t>NC_001145:117672</t>
  </si>
  <si>
    <t>NC_001140:158280</t>
  </si>
  <si>
    <t>NC_001146:43130</t>
  </si>
  <si>
    <t>NC_001136:1364928</t>
  </si>
  <si>
    <t>NC_001139:87000</t>
  </si>
  <si>
    <t>NC_001143:316779</t>
  </si>
  <si>
    <t>NC_001143:234993</t>
  </si>
  <si>
    <t>NC_001148:799229</t>
  </si>
  <si>
    <t>NC_001148:396955</t>
  </si>
  <si>
    <t>mutation</t>
  </si>
  <si>
    <t>C→T</t>
  </si>
  <si>
    <t>G→A</t>
  </si>
  <si>
    <t>C→A</t>
  </si>
  <si>
    <t>T→A</t>
  </si>
  <si>
    <t>G→T</t>
  </si>
  <si>
    <t>A→G</t>
  </si>
  <si>
    <t>T→C</t>
  </si>
  <si>
    <t>T→G</t>
  </si>
  <si>
    <t>A→C</t>
  </si>
  <si>
    <t>A→T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</si>
</sst>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5">
    <xf numFmtId="0" fontId="0" fillId="0" borderId="0"/>
    <xf numFmtId="0" fontId="4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67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2" xfId="0" applyFill="1" applyBorder="1" applyAlignment="1">
      <alignment horizontal="left"/>
    </xf>
    <xf numFmtId="0" fontId="0" fillId="4" borderId="2" xfId="0" applyFill="1" applyBorder="1"/>
    <xf numFmtId="164" fontId="0" fillId="5" borderId="2" xfId="0" applyNumberFormat="1" applyFill="1" applyBorder="1"/>
    <xf numFmtId="0" fontId="0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3" borderId="3" xfId="0" applyFill="1" applyBorder="1"/>
    <xf numFmtId="0" fontId="4" fillId="4" borderId="3" xfId="1" applyFill="1" applyBorder="1"/>
    <xf numFmtId="0" fontId="4" fillId="4" borderId="3" xfId="1" applyFont="1" applyFill="1" applyBorder="1"/>
    <xf numFmtId="164" fontId="0" fillId="5" borderId="3" xfId="0" applyNumberFormat="1" applyFill="1" applyBorder="1"/>
    <xf numFmtId="0" fontId="0" fillId="0" borderId="3" xfId="0" applyFill="1" applyBorder="1"/>
    <xf numFmtId="0" fontId="0" fillId="0" borderId="0" xfId="0" applyFill="1" applyAlignment="1">
      <alignment horizontal="right"/>
    </xf>
    <xf numFmtId="0" fontId="0" fillId="0" borderId="0" xfId="0" applyBorder="1"/>
    <xf numFmtId="0" fontId="0" fillId="0" borderId="0" xfId="0" applyFill="1" applyBorder="1"/>
    <xf numFmtId="165" fontId="4" fillId="0" borderId="0" xfId="1" applyNumberFormat="1" applyFont="1" applyBorder="1"/>
    <xf numFmtId="165" fontId="0" fillId="0" borderId="0" xfId="0" applyNumberFormat="1"/>
    <xf numFmtId="164" fontId="0" fillId="6" borderId="0" xfId="0" applyNumberFormat="1" applyFill="1"/>
    <xf numFmtId="0" fontId="0" fillId="0" borderId="0" xfId="0" applyFill="1"/>
    <xf numFmtId="165" fontId="4" fillId="0" borderId="0" xfId="1" applyNumberFormat="1" applyFont="1"/>
    <xf numFmtId="0" fontId="0" fillId="0" borderId="0" xfId="0" applyFill="1" applyBorder="1" applyAlignment="1">
      <alignment horizontal="right"/>
    </xf>
    <xf numFmtId="165" fontId="4" fillId="0" borderId="0" xfId="1" applyNumberFormat="1" applyBorder="1"/>
    <xf numFmtId="165" fontId="4" fillId="0" borderId="0" xfId="1" applyNumberFormat="1" applyFont="1" applyFill="1"/>
    <xf numFmtId="165" fontId="4" fillId="0" borderId="0" xfId="1" applyNumberFormat="1" applyFill="1"/>
    <xf numFmtId="165" fontId="0" fillId="0" borderId="0" xfId="0" applyNumberFormat="1" applyBorder="1"/>
    <xf numFmtId="164" fontId="0" fillId="6" borderId="0" xfId="0" applyNumberFormat="1" applyFill="1" applyBorder="1"/>
    <xf numFmtId="0" fontId="5" fillId="0" borderId="0" xfId="0" applyFont="1" applyFill="1"/>
    <xf numFmtId="165" fontId="6" fillId="0" borderId="0" xfId="2" applyNumberFormat="1" applyFont="1" applyFill="1" applyAlignment="1">
      <alignment vertical="center"/>
    </xf>
    <xf numFmtId="165" fontId="4" fillId="0" borderId="0" xfId="1" applyNumberFormat="1"/>
    <xf numFmtId="164" fontId="0" fillId="7" borderId="0" xfId="0" applyNumberFormat="1" applyFill="1"/>
    <xf numFmtId="0" fontId="0" fillId="0" borderId="1" xfId="0" applyFill="1" applyBorder="1"/>
    <xf numFmtId="0" fontId="2" fillId="0" borderId="1" xfId="0" applyFont="1" applyFill="1" applyBorder="1"/>
    <xf numFmtId="164" fontId="0" fillId="8" borderId="0" xfId="0" applyNumberFormat="1" applyFill="1"/>
    <xf numFmtId="165" fontId="7" fillId="0" borderId="0" xfId="3" applyNumberFormat="1" applyFont="1" applyFill="1"/>
    <xf numFmtId="0" fontId="8" fillId="0" borderId="0" xfId="0" applyFont="1" applyFill="1"/>
    <xf numFmtId="164" fontId="0" fillId="8" borderId="0" xfId="0" applyNumberFormat="1" applyFill="1" applyBorder="1"/>
    <xf numFmtId="0" fontId="8" fillId="0" borderId="1" xfId="0" applyFont="1" applyFill="1" applyBorder="1"/>
    <xf numFmtId="164" fontId="0" fillId="9" borderId="0" xfId="0" applyNumberFormat="1" applyFill="1"/>
    <xf numFmtId="164" fontId="0" fillId="9" borderId="0" xfId="0" applyNumberFormat="1" applyFill="1" applyBorder="1"/>
    <xf numFmtId="165" fontId="6" fillId="0" borderId="0" xfId="2" applyNumberFormat="1" applyFont="1" applyFill="1" applyBorder="1" applyAlignment="1">
      <alignment vertical="center"/>
    </xf>
    <xf numFmtId="164" fontId="0" fillId="10" borderId="0" xfId="0" applyNumberFormat="1" applyFill="1"/>
    <xf numFmtId="165" fontId="6" fillId="0" borderId="0" xfId="1" applyNumberFormat="1" applyFont="1" applyFill="1" applyAlignment="1">
      <alignment vertical="center"/>
    </xf>
    <xf numFmtId="164" fontId="0" fillId="11" borderId="0" xfId="0" applyNumberFormat="1" applyFill="1"/>
    <xf numFmtId="0" fontId="4" fillId="0" borderId="0" xfId="0" applyFont="1" applyBorder="1"/>
    <xf numFmtId="164" fontId="0" fillId="12" borderId="0" xfId="0" applyNumberFormat="1" applyFill="1"/>
    <xf numFmtId="0" fontId="8" fillId="0" borderId="0" xfId="0" applyFont="1" applyFill="1" applyBorder="1"/>
    <xf numFmtId="0" fontId="0" fillId="0" borderId="0" xfId="0" applyFont="1" applyFill="1"/>
    <xf numFmtId="0" fontId="1" fillId="0" borderId="0" xfId="2" applyFill="1" applyBorder="1"/>
    <xf numFmtId="164" fontId="0" fillId="13" borderId="0" xfId="0" applyNumberFormat="1" applyFill="1"/>
    <xf numFmtId="165" fontId="7" fillId="0" borderId="0" xfId="1" applyNumberFormat="1" applyFont="1"/>
    <xf numFmtId="0" fontId="1" fillId="0" borderId="0" xfId="2" applyFill="1"/>
    <xf numFmtId="0" fontId="0" fillId="0" borderId="2" xfId="0" applyFill="1" applyBorder="1" applyAlignment="1">
      <alignment horizontal="right"/>
    </xf>
    <xf numFmtId="0" fontId="0" fillId="0" borderId="2" xfId="0" applyBorder="1"/>
    <xf numFmtId="0" fontId="0" fillId="0" borderId="2" xfId="0" applyFill="1" applyBorder="1"/>
    <xf numFmtId="165" fontId="4" fillId="0" borderId="2" xfId="1" applyNumberFormat="1" applyFont="1" applyBorder="1"/>
    <xf numFmtId="165" fontId="0" fillId="0" borderId="2" xfId="0" applyNumberFormat="1" applyBorder="1"/>
    <xf numFmtId="164" fontId="0" fillId="6" borderId="2" xfId="0" applyNumberFormat="1" applyFill="1" applyBorder="1"/>
    <xf numFmtId="0" fontId="4" fillId="0" borderId="0" xfId="1" applyFont="1"/>
    <xf numFmtId="0" fontId="4" fillId="0" borderId="0" xfId="1"/>
    <xf numFmtId="0" fontId="0" fillId="14" borderId="0" xfId="0" applyFill="1"/>
    <xf numFmtId="0" fontId="0" fillId="14" borderId="3" xfId="0" applyFill="1" applyBorder="1"/>
    <xf numFmtId="0" fontId="0" fillId="0" borderId="0" xfId="0" applyFont="1" applyFill="1" applyAlignment="1">
      <alignment horizontal="left"/>
    </xf>
    <xf numFmtId="0" fontId="10" fillId="0" borderId="0" xfId="0" applyFont="1" applyFill="1"/>
  </cellXfs>
  <cellStyles count="15">
    <cellStyle name="Normal" xfId="0" builtinId="0"/>
    <cellStyle name="Normal 2" xfId="4"/>
    <cellStyle name="Normal 3" xfId="2"/>
    <cellStyle name="Normal 3 2" xfId="5"/>
    <cellStyle name="Normal 4" xfId="6"/>
    <cellStyle name="Normal 4 2" xfId="7"/>
    <cellStyle name="Normal 4 2 2" xfId="8"/>
    <cellStyle name="Normal 4 3" xfId="1"/>
    <cellStyle name="Normal 4 4" xfId="9"/>
    <cellStyle name="Normal 5" xfId="10"/>
    <cellStyle name="Normal 5 2" xfId="3"/>
    <cellStyle name="Normal 5 3" xfId="11"/>
    <cellStyle name="Normal 6" xfId="12"/>
    <cellStyle name="Normal 6 2" xfId="13"/>
    <cellStyle name="Normal 6 3" xfId="1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3"/>
  <sheetViews>
    <sheetView tabSelected="1" zoomScale="90" zoomScaleNormal="90" zoomScalePageLayoutView="60" workbookViewId="0">
      <selection activeCell="J246" sqref="J246"/>
    </sheetView>
  </sheetViews>
  <sheetFormatPr defaultColWidth="8.796875" defaultRowHeight="15.6" x14ac:dyDescent="0.3"/>
  <cols>
    <col min="1" max="1" width="8.19921875" customWidth="1"/>
    <col min="2" max="2" width="9.296875" customWidth="1"/>
    <col min="4" max="4" width="21.796875" customWidth="1"/>
    <col min="5" max="5" width="9" customWidth="1"/>
    <col min="6" max="6" width="19.5" customWidth="1"/>
    <col min="7" max="7" width="15.796875" customWidth="1"/>
    <col min="8" max="8" width="25.296875" customWidth="1"/>
    <col min="9" max="9" width="17.19921875" customWidth="1"/>
    <col min="10" max="10" width="17.69921875" style="2" customWidth="1"/>
    <col min="11" max="11" width="13.796875" style="2" customWidth="1"/>
    <col min="12" max="12" width="13.796875" style="2" hidden="1" customWidth="1"/>
    <col min="13" max="13" width="8.796875" style="3"/>
  </cols>
  <sheetData>
    <row r="1" spans="1:12" ht="33.6" x14ac:dyDescent="0.65">
      <c r="A1" s="1" t="s">
        <v>0</v>
      </c>
    </row>
    <row r="2" spans="1:12" x14ac:dyDescent="0.3">
      <c r="A2" s="4"/>
      <c r="B2" s="4"/>
      <c r="C2" s="4"/>
      <c r="D2" s="4"/>
      <c r="E2" s="63"/>
      <c r="F2" s="5"/>
      <c r="G2" s="6" t="s">
        <v>1</v>
      </c>
      <c r="H2" s="7"/>
      <c r="I2" s="7"/>
      <c r="J2" s="8" t="s">
        <v>2</v>
      </c>
      <c r="K2"/>
      <c r="L2"/>
    </row>
    <row r="3" spans="1:12" ht="16.2" thickBot="1" x14ac:dyDescent="0.35">
      <c r="A3" s="9" t="s">
        <v>3</v>
      </c>
      <c r="B3" s="9" t="s">
        <v>4</v>
      </c>
      <c r="C3" s="10" t="s">
        <v>5</v>
      </c>
      <c r="D3" s="10" t="s">
        <v>6</v>
      </c>
      <c r="E3" s="64" t="s">
        <v>256</v>
      </c>
      <c r="F3" s="11" t="s">
        <v>7</v>
      </c>
      <c r="G3" s="12" t="s">
        <v>8</v>
      </c>
      <c r="H3" s="13" t="s">
        <v>9</v>
      </c>
      <c r="I3" s="13" t="s">
        <v>10</v>
      </c>
      <c r="J3" s="14" t="s">
        <v>11</v>
      </c>
      <c r="K3"/>
      <c r="L3" s="15"/>
    </row>
    <row r="4" spans="1:12" ht="16.2" thickTop="1" x14ac:dyDescent="0.3">
      <c r="A4" s="16" t="s">
        <v>12</v>
      </c>
      <c r="B4" s="16">
        <v>9</v>
      </c>
      <c r="C4" s="17">
        <v>9</v>
      </c>
      <c r="D4" s="18" t="s">
        <v>13</v>
      </c>
      <c r="E4" s="22" t="s">
        <v>259</v>
      </c>
      <c r="F4" s="17">
        <v>356.74700000000001</v>
      </c>
      <c r="G4" s="19">
        <v>1.4999999999986358E-2</v>
      </c>
      <c r="H4" s="19">
        <v>44.487000000000023</v>
      </c>
      <c r="I4" s="20">
        <f t="shared" ref="I4:I67" si="0">SUM(G4:H4)</f>
        <v>44.50200000000001</v>
      </c>
      <c r="J4" s="21">
        <f t="shared" ref="J4:J67" si="1">G4/SUM(G4:H4)</f>
        <v>3.3706350276361407E-4</v>
      </c>
      <c r="L4" s="22"/>
    </row>
    <row r="5" spans="1:12" x14ac:dyDescent="0.3">
      <c r="A5" s="16" t="s">
        <v>14</v>
      </c>
      <c r="B5" s="16">
        <v>13</v>
      </c>
      <c r="C5">
        <v>8</v>
      </c>
      <c r="D5" s="22" t="s">
        <v>15</v>
      </c>
      <c r="E5" s="22" t="s">
        <v>257</v>
      </c>
      <c r="F5">
        <v>506.61399999999998</v>
      </c>
      <c r="G5" s="23">
        <v>6.300000000004502E-2</v>
      </c>
      <c r="H5" s="23">
        <v>18.452999999999975</v>
      </c>
      <c r="I5" s="20">
        <f t="shared" si="0"/>
        <v>18.51600000000002</v>
      </c>
      <c r="J5" s="21">
        <f t="shared" si="1"/>
        <v>3.4024627349343787E-3</v>
      </c>
      <c r="L5">
        <v>0</v>
      </c>
    </row>
    <row r="6" spans="1:12" x14ac:dyDescent="0.3">
      <c r="A6" s="24" t="s">
        <v>16</v>
      </c>
      <c r="B6" s="24">
        <v>6</v>
      </c>
      <c r="C6">
        <v>12</v>
      </c>
      <c r="D6" s="22" t="s">
        <v>17</v>
      </c>
      <c r="E6" s="22" t="s">
        <v>257</v>
      </c>
      <c r="F6">
        <v>975.21799999999996</v>
      </c>
      <c r="G6" s="23">
        <v>3.4999999999968168E-2</v>
      </c>
      <c r="H6" s="23">
        <v>6.9680000000000746</v>
      </c>
      <c r="I6" s="20">
        <f t="shared" si="0"/>
        <v>7.0030000000000427</v>
      </c>
      <c r="J6" s="21">
        <f t="shared" si="1"/>
        <v>4.9978580608264966E-3</v>
      </c>
      <c r="L6">
        <v>0.1</v>
      </c>
    </row>
    <row r="7" spans="1:12" x14ac:dyDescent="0.3">
      <c r="A7" s="16" t="s">
        <v>18</v>
      </c>
      <c r="B7" s="16">
        <v>4</v>
      </c>
      <c r="C7">
        <v>7</v>
      </c>
      <c r="D7" s="18" t="s">
        <v>19</v>
      </c>
      <c r="E7" s="22" t="s">
        <v>258</v>
      </c>
      <c r="F7">
        <v>393.67099999999999</v>
      </c>
      <c r="G7" s="23">
        <v>0.24799999999999045</v>
      </c>
      <c r="H7" s="23">
        <v>25.262999999999977</v>
      </c>
      <c r="I7" s="20">
        <f t="shared" si="0"/>
        <v>25.510999999999967</v>
      </c>
      <c r="J7" s="21">
        <f t="shared" si="1"/>
        <v>9.7212966955427371E-3</v>
      </c>
      <c r="L7">
        <v>0.2</v>
      </c>
    </row>
    <row r="8" spans="1:12" x14ac:dyDescent="0.3">
      <c r="A8" s="16" t="s">
        <v>12</v>
      </c>
      <c r="B8" s="16">
        <v>11</v>
      </c>
      <c r="C8">
        <v>12</v>
      </c>
      <c r="D8" s="18" t="s">
        <v>20</v>
      </c>
      <c r="E8" s="22" t="s">
        <v>259</v>
      </c>
      <c r="F8">
        <v>936.48500000000001</v>
      </c>
      <c r="G8" s="23">
        <v>0.32000000000005002</v>
      </c>
      <c r="H8" s="23">
        <v>29.69399999999996</v>
      </c>
      <c r="I8" s="20">
        <f t="shared" si="0"/>
        <v>30.01400000000001</v>
      </c>
      <c r="J8" s="21">
        <f t="shared" si="1"/>
        <v>1.0661691210769972E-2</v>
      </c>
      <c r="L8">
        <v>0.3</v>
      </c>
    </row>
    <row r="9" spans="1:12" x14ac:dyDescent="0.3">
      <c r="A9" s="16" t="s">
        <v>21</v>
      </c>
      <c r="B9" s="16">
        <v>10</v>
      </c>
      <c r="C9">
        <v>4</v>
      </c>
      <c r="D9" s="18" t="s">
        <v>22</v>
      </c>
      <c r="E9" s="22" t="s">
        <v>259</v>
      </c>
      <c r="F9" s="22">
        <v>209.36099999999999</v>
      </c>
      <c r="G9" s="25">
        <v>0.44300000000001205</v>
      </c>
      <c r="H9" s="25">
        <v>34.066000000000003</v>
      </c>
      <c r="I9" s="20">
        <f t="shared" si="0"/>
        <v>34.509000000000015</v>
      </c>
      <c r="J9" s="21">
        <f t="shared" si="1"/>
        <v>1.2837230867310321E-2</v>
      </c>
      <c r="L9">
        <v>0.4</v>
      </c>
    </row>
    <row r="10" spans="1:12" x14ac:dyDescent="0.3">
      <c r="A10" s="16" t="s">
        <v>23</v>
      </c>
      <c r="B10" s="16">
        <v>4</v>
      </c>
      <c r="C10">
        <v>15</v>
      </c>
      <c r="D10" s="22" t="s">
        <v>24</v>
      </c>
      <c r="E10" s="22" t="s">
        <v>259</v>
      </c>
      <c r="F10">
        <v>650.89400000000001</v>
      </c>
      <c r="G10" s="23">
        <v>0.1370000000000573</v>
      </c>
      <c r="H10" s="23">
        <v>9.3629999999999427</v>
      </c>
      <c r="I10" s="20">
        <f t="shared" si="0"/>
        <v>9.5</v>
      </c>
      <c r="J10" s="21">
        <f t="shared" si="1"/>
        <v>1.4421052631584979E-2</v>
      </c>
      <c r="L10">
        <v>0.5</v>
      </c>
    </row>
    <row r="11" spans="1:12" x14ac:dyDescent="0.3">
      <c r="A11" s="16" t="s">
        <v>21</v>
      </c>
      <c r="B11" s="16">
        <v>13</v>
      </c>
      <c r="C11">
        <v>15</v>
      </c>
      <c r="D11" s="18" t="s">
        <v>25</v>
      </c>
      <c r="E11" s="22" t="s">
        <v>260</v>
      </c>
      <c r="F11">
        <v>496.40100000000001</v>
      </c>
      <c r="G11" s="23">
        <v>0.64600000000001501</v>
      </c>
      <c r="H11" s="23">
        <v>39.354999999999961</v>
      </c>
      <c r="I11" s="20">
        <f t="shared" si="0"/>
        <v>40.000999999999976</v>
      </c>
      <c r="J11" s="21">
        <f t="shared" si="1"/>
        <v>1.6149596260093883E-2</v>
      </c>
      <c r="L11">
        <v>0.6</v>
      </c>
    </row>
    <row r="12" spans="1:12" x14ac:dyDescent="0.3">
      <c r="A12" s="16" t="s">
        <v>21</v>
      </c>
      <c r="B12" s="16">
        <v>11</v>
      </c>
      <c r="C12">
        <v>13</v>
      </c>
      <c r="D12" s="18" t="s">
        <v>26</v>
      </c>
      <c r="E12" s="22" t="s">
        <v>258</v>
      </c>
      <c r="F12">
        <v>896.428</v>
      </c>
      <c r="G12" s="23">
        <v>0.55600000000004002</v>
      </c>
      <c r="H12" s="23">
        <v>26.947000000000003</v>
      </c>
      <c r="I12" s="20">
        <f t="shared" si="0"/>
        <v>27.503000000000043</v>
      </c>
      <c r="J12" s="21">
        <f t="shared" si="1"/>
        <v>2.0215976438935357E-2</v>
      </c>
      <c r="L12">
        <v>0.7</v>
      </c>
    </row>
    <row r="13" spans="1:12" x14ac:dyDescent="0.3">
      <c r="A13" s="16" t="s">
        <v>18</v>
      </c>
      <c r="B13" s="16">
        <v>10</v>
      </c>
      <c r="C13">
        <v>10</v>
      </c>
      <c r="D13" s="18" t="s">
        <v>27</v>
      </c>
      <c r="E13" s="22" t="s">
        <v>257</v>
      </c>
      <c r="F13">
        <v>159.94200000000001</v>
      </c>
      <c r="G13" s="26">
        <v>0.81099999999997863</v>
      </c>
      <c r="H13" s="26">
        <v>25.189000000000021</v>
      </c>
      <c r="I13" s="20">
        <f t="shared" si="0"/>
        <v>26</v>
      </c>
      <c r="J13" s="21">
        <f t="shared" si="1"/>
        <v>3.1192307692306871E-2</v>
      </c>
      <c r="L13">
        <v>0.8</v>
      </c>
    </row>
    <row r="14" spans="1:12" x14ac:dyDescent="0.3">
      <c r="A14" s="16" t="s">
        <v>14</v>
      </c>
      <c r="B14" s="16">
        <v>14</v>
      </c>
      <c r="C14">
        <v>12</v>
      </c>
      <c r="D14" s="18" t="s">
        <v>28</v>
      </c>
      <c r="E14" s="18" t="s">
        <v>259</v>
      </c>
      <c r="F14">
        <v>590.70600000000002</v>
      </c>
      <c r="G14" s="23">
        <v>1.3059999999999263</v>
      </c>
      <c r="H14" s="23">
        <v>37.211000000000013</v>
      </c>
      <c r="I14" s="20">
        <f t="shared" si="0"/>
        <v>38.516999999999939</v>
      </c>
      <c r="J14" s="21">
        <f t="shared" si="1"/>
        <v>3.3907105953213605E-2</v>
      </c>
      <c r="L14">
        <v>0.9</v>
      </c>
    </row>
    <row r="15" spans="1:12" x14ac:dyDescent="0.3">
      <c r="A15" s="16" t="s">
        <v>14</v>
      </c>
      <c r="B15" s="16">
        <v>13</v>
      </c>
      <c r="C15">
        <v>12</v>
      </c>
      <c r="D15" s="18" t="s">
        <v>29</v>
      </c>
      <c r="E15" s="18" t="s">
        <v>257</v>
      </c>
      <c r="F15">
        <v>934.73500000000001</v>
      </c>
      <c r="G15" s="23">
        <v>1.42999999999995</v>
      </c>
      <c r="H15" s="23">
        <v>33.585000000000036</v>
      </c>
      <c r="I15" s="20">
        <f t="shared" si="0"/>
        <v>35.014999999999986</v>
      </c>
      <c r="J15" s="21">
        <f t="shared" si="1"/>
        <v>4.0839640154218204E-2</v>
      </c>
      <c r="L15">
        <v>1</v>
      </c>
    </row>
    <row r="16" spans="1:12" x14ac:dyDescent="0.3">
      <c r="A16" s="16" t="s">
        <v>14</v>
      </c>
      <c r="B16" s="16">
        <v>8</v>
      </c>
      <c r="C16">
        <v>3</v>
      </c>
      <c r="D16" s="22" t="s">
        <v>30</v>
      </c>
      <c r="E16" s="22" t="s">
        <v>261</v>
      </c>
      <c r="F16" s="22">
        <v>114.78400000000001</v>
      </c>
      <c r="G16" s="27">
        <v>1.1219999999999999</v>
      </c>
      <c r="H16" s="27">
        <v>23.912000000000006</v>
      </c>
      <c r="I16" s="20">
        <f t="shared" si="0"/>
        <v>25.034000000000006</v>
      </c>
      <c r="J16" s="21">
        <f t="shared" si="1"/>
        <v>4.4819046097307649E-2</v>
      </c>
      <c r="L16" s="22"/>
    </row>
    <row r="17" spans="1:12" x14ac:dyDescent="0.3">
      <c r="A17" s="24" t="s">
        <v>31</v>
      </c>
      <c r="B17" s="24">
        <v>6</v>
      </c>
      <c r="C17" s="17">
        <v>16</v>
      </c>
      <c r="D17" s="18" t="s">
        <v>32</v>
      </c>
      <c r="E17" s="22" t="s">
        <v>261</v>
      </c>
      <c r="F17" s="17">
        <v>871.69600000000003</v>
      </c>
      <c r="G17" s="19">
        <v>0.99099999999998545</v>
      </c>
      <c r="H17" s="19">
        <v>20.019000000000005</v>
      </c>
      <c r="I17" s="28">
        <f t="shared" si="0"/>
        <v>21.009999999999991</v>
      </c>
      <c r="J17" s="29">
        <f t="shared" si="1"/>
        <v>4.7168015230841784E-2</v>
      </c>
      <c r="L17" s="22"/>
    </row>
    <row r="18" spans="1:12" x14ac:dyDescent="0.3">
      <c r="A18" s="16" t="s">
        <v>14</v>
      </c>
      <c r="B18" s="16">
        <v>9</v>
      </c>
      <c r="C18">
        <v>9</v>
      </c>
      <c r="D18" s="22" t="s">
        <v>33</v>
      </c>
      <c r="E18" s="65" t="s">
        <v>259</v>
      </c>
      <c r="F18">
        <v>354.33600000000001</v>
      </c>
      <c r="G18" s="23">
        <v>2.4259999999999877</v>
      </c>
      <c r="H18" s="23">
        <v>42.076000000000022</v>
      </c>
      <c r="I18" s="20">
        <f t="shared" si="0"/>
        <v>44.50200000000001</v>
      </c>
      <c r="J18" s="21">
        <f t="shared" si="1"/>
        <v>5.4514403847017827E-2</v>
      </c>
      <c r="L18" s="30"/>
    </row>
    <row r="19" spans="1:12" x14ac:dyDescent="0.3">
      <c r="A19" s="16" t="s">
        <v>31</v>
      </c>
      <c r="B19" s="16">
        <v>13</v>
      </c>
      <c r="C19">
        <v>3</v>
      </c>
      <c r="D19" s="18" t="s">
        <v>34</v>
      </c>
      <c r="E19" s="22" t="s">
        <v>261</v>
      </c>
      <c r="F19" s="22">
        <v>175.00299999999999</v>
      </c>
      <c r="G19" s="27">
        <v>0.51699999999999602</v>
      </c>
      <c r="H19" s="27">
        <v>8.4950000000000045</v>
      </c>
      <c r="I19" s="20">
        <f t="shared" si="0"/>
        <v>9.0120000000000005</v>
      </c>
      <c r="J19" s="21">
        <f t="shared" si="1"/>
        <v>5.7367953839324901E-2</v>
      </c>
      <c r="L19" s="22"/>
    </row>
    <row r="20" spans="1:12" x14ac:dyDescent="0.3">
      <c r="A20" s="16" t="s">
        <v>23</v>
      </c>
      <c r="B20" s="16">
        <v>4</v>
      </c>
      <c r="C20">
        <v>14</v>
      </c>
      <c r="D20" s="22" t="s">
        <v>35</v>
      </c>
      <c r="E20" s="22" t="s">
        <v>259</v>
      </c>
      <c r="F20">
        <v>691.38800000000003</v>
      </c>
      <c r="G20" s="23">
        <v>1.0060000000000855</v>
      </c>
      <c r="H20" s="23">
        <v>16.497999999999934</v>
      </c>
      <c r="I20" s="20">
        <f t="shared" si="0"/>
        <v>17.504000000000019</v>
      </c>
      <c r="J20" s="21">
        <f t="shared" si="1"/>
        <v>5.747257769653133E-2</v>
      </c>
      <c r="L20" s="22"/>
    </row>
    <row r="21" spans="1:12" x14ac:dyDescent="0.3">
      <c r="A21" s="24" t="s">
        <v>16</v>
      </c>
      <c r="B21" s="24">
        <v>4</v>
      </c>
      <c r="C21">
        <v>16</v>
      </c>
      <c r="D21" s="22" t="s">
        <v>36</v>
      </c>
      <c r="E21" s="22" t="s">
        <v>261</v>
      </c>
      <c r="F21">
        <v>511.90100000000001</v>
      </c>
      <c r="G21" s="23">
        <v>1.1059999999999377</v>
      </c>
      <c r="H21" s="23">
        <v>15.90300000000002</v>
      </c>
      <c r="I21" s="20">
        <f t="shared" si="0"/>
        <v>17.008999999999958</v>
      </c>
      <c r="J21" s="21">
        <f t="shared" si="1"/>
        <v>6.5024398847665379E-2</v>
      </c>
      <c r="L21" s="22"/>
    </row>
    <row r="22" spans="1:12" x14ac:dyDescent="0.3">
      <c r="A22" s="16" t="s">
        <v>21</v>
      </c>
      <c r="B22" s="16">
        <v>12</v>
      </c>
      <c r="C22">
        <v>15</v>
      </c>
      <c r="D22" s="18" t="s">
        <v>37</v>
      </c>
      <c r="E22" s="22" t="s">
        <v>259</v>
      </c>
      <c r="F22">
        <v>1051.92</v>
      </c>
      <c r="G22" s="23">
        <v>1.8389999999999418</v>
      </c>
      <c r="H22" s="23">
        <v>25.661000000000058</v>
      </c>
      <c r="I22" s="20">
        <f t="shared" si="0"/>
        <v>27.5</v>
      </c>
      <c r="J22" s="21">
        <f t="shared" si="1"/>
        <v>6.6872727272725155E-2</v>
      </c>
      <c r="L22" s="22"/>
    </row>
    <row r="23" spans="1:12" x14ac:dyDescent="0.3">
      <c r="A23" s="16" t="s">
        <v>12</v>
      </c>
      <c r="B23" s="16">
        <v>5</v>
      </c>
      <c r="C23">
        <v>14</v>
      </c>
      <c r="D23" s="18" t="s">
        <v>38</v>
      </c>
      <c r="E23" s="22" t="s">
        <v>262</v>
      </c>
      <c r="F23">
        <v>616.35500000000002</v>
      </c>
      <c r="G23" s="23">
        <v>2.9880000000000564</v>
      </c>
      <c r="H23" s="23">
        <v>36.019999999999982</v>
      </c>
      <c r="I23" s="20">
        <f t="shared" si="0"/>
        <v>39.008000000000038</v>
      </c>
      <c r="J23" s="21">
        <f t="shared" si="1"/>
        <v>7.6599671862183485E-2</v>
      </c>
      <c r="L23" s="22"/>
    </row>
    <row r="24" spans="1:12" x14ac:dyDescent="0.3">
      <c r="A24" s="16" t="s">
        <v>23</v>
      </c>
      <c r="B24" s="16">
        <v>11</v>
      </c>
      <c r="C24">
        <v>14</v>
      </c>
      <c r="D24" s="22" t="s">
        <v>39</v>
      </c>
      <c r="E24" s="22" t="s">
        <v>262</v>
      </c>
      <c r="F24">
        <v>159.62799999999999</v>
      </c>
      <c r="G24" s="23">
        <v>0.84799999999998477</v>
      </c>
      <c r="H24" s="23">
        <v>10.154000000000025</v>
      </c>
      <c r="I24" s="20">
        <f t="shared" si="0"/>
        <v>11.00200000000001</v>
      </c>
      <c r="J24" s="21">
        <f t="shared" si="1"/>
        <v>7.7076895109978547E-2</v>
      </c>
      <c r="L24"/>
    </row>
    <row r="25" spans="1:12" x14ac:dyDescent="0.3">
      <c r="A25" s="16" t="s">
        <v>23</v>
      </c>
      <c r="B25" s="16">
        <v>6</v>
      </c>
      <c r="C25">
        <v>5</v>
      </c>
      <c r="D25" s="18" t="s">
        <v>40</v>
      </c>
      <c r="E25" s="22" t="s">
        <v>263</v>
      </c>
      <c r="F25">
        <v>353.14600000000002</v>
      </c>
      <c r="G25" s="31">
        <v>2.7580000000000382</v>
      </c>
      <c r="H25" s="31">
        <v>31.755999999999972</v>
      </c>
      <c r="I25" s="20">
        <f t="shared" si="0"/>
        <v>34.51400000000001</v>
      </c>
      <c r="J25" s="21">
        <f t="shared" si="1"/>
        <v>7.990960190067907E-2</v>
      </c>
      <c r="L25"/>
    </row>
    <row r="26" spans="1:12" x14ac:dyDescent="0.3">
      <c r="A26" s="16" t="s">
        <v>12</v>
      </c>
      <c r="B26" s="16">
        <v>9</v>
      </c>
      <c r="C26">
        <v>13</v>
      </c>
      <c r="D26" s="18" t="s">
        <v>41</v>
      </c>
      <c r="E26" s="22" t="s">
        <v>258</v>
      </c>
      <c r="F26">
        <v>614.75599999999997</v>
      </c>
      <c r="G26" s="23">
        <v>2.5779999999999745</v>
      </c>
      <c r="H26" s="23">
        <v>27.425999999999931</v>
      </c>
      <c r="I26" s="20">
        <f t="shared" si="0"/>
        <v>30.003999999999905</v>
      </c>
      <c r="J26" s="21">
        <f t="shared" si="1"/>
        <v>8.5921877083055015E-2</v>
      </c>
    </row>
    <row r="27" spans="1:12" x14ac:dyDescent="0.3">
      <c r="A27" s="16" t="s">
        <v>31</v>
      </c>
      <c r="B27" s="16">
        <v>15</v>
      </c>
      <c r="C27">
        <v>7</v>
      </c>
      <c r="D27" s="18" t="s">
        <v>42</v>
      </c>
      <c r="E27" s="22" t="s">
        <v>259</v>
      </c>
      <c r="F27">
        <v>655.53499999999997</v>
      </c>
      <c r="G27" s="23">
        <v>3.9990000000000236</v>
      </c>
      <c r="H27" s="23">
        <v>42.520999999999958</v>
      </c>
      <c r="I27" s="20">
        <f t="shared" si="0"/>
        <v>46.519999999999982</v>
      </c>
      <c r="J27" s="21">
        <f t="shared" si="1"/>
        <v>8.5963026655202612E-2</v>
      </c>
      <c r="L27"/>
    </row>
    <row r="28" spans="1:12" x14ac:dyDescent="0.3">
      <c r="A28" s="16" t="s">
        <v>14</v>
      </c>
      <c r="B28" s="16">
        <v>5</v>
      </c>
      <c r="C28">
        <v>2</v>
      </c>
      <c r="D28" s="22" t="s">
        <v>43</v>
      </c>
      <c r="E28" s="22" t="s">
        <v>257</v>
      </c>
      <c r="F28" s="22">
        <v>418.834</v>
      </c>
      <c r="G28" s="32">
        <v>1.41500000000002</v>
      </c>
      <c r="H28" s="32">
        <v>13.091000000000008</v>
      </c>
      <c r="I28" s="20">
        <f t="shared" si="0"/>
        <v>14.506000000000029</v>
      </c>
      <c r="J28" s="21">
        <f t="shared" si="1"/>
        <v>9.7545843099408336E-2</v>
      </c>
      <c r="L28"/>
    </row>
    <row r="29" spans="1:12" x14ac:dyDescent="0.3">
      <c r="A29" s="16" t="s">
        <v>14</v>
      </c>
      <c r="B29" s="16">
        <v>13</v>
      </c>
      <c r="C29">
        <v>15</v>
      </c>
      <c r="D29" s="18" t="s">
        <v>44</v>
      </c>
      <c r="E29" s="18" t="s">
        <v>257</v>
      </c>
      <c r="F29">
        <v>41.195999999999998</v>
      </c>
      <c r="G29" s="23">
        <v>4.054000000000002</v>
      </c>
      <c r="H29" s="23">
        <v>36.945999999999998</v>
      </c>
      <c r="I29" s="20">
        <f t="shared" si="0"/>
        <v>41</v>
      </c>
      <c r="J29" s="21">
        <f t="shared" si="1"/>
        <v>9.8878048780487851E-2</v>
      </c>
      <c r="L29"/>
    </row>
    <row r="30" spans="1:12" x14ac:dyDescent="0.3">
      <c r="A30" s="16" t="s">
        <v>31</v>
      </c>
      <c r="B30" s="16">
        <v>16</v>
      </c>
      <c r="C30">
        <v>12</v>
      </c>
      <c r="D30" s="18" t="s">
        <v>45</v>
      </c>
      <c r="E30" s="22" t="s">
        <v>263</v>
      </c>
      <c r="F30">
        <v>819.02200000000005</v>
      </c>
      <c r="G30" s="23">
        <v>2.9100000000000819</v>
      </c>
      <c r="H30" s="23">
        <v>26.102999999999952</v>
      </c>
      <c r="I30" s="20">
        <f t="shared" si="0"/>
        <v>29.013000000000034</v>
      </c>
      <c r="J30" s="33">
        <f t="shared" si="1"/>
        <v>0.10029986557750245</v>
      </c>
      <c r="L30"/>
    </row>
    <row r="31" spans="1:12" x14ac:dyDescent="0.3">
      <c r="A31" s="16" t="s">
        <v>12</v>
      </c>
      <c r="B31" s="16">
        <v>7</v>
      </c>
      <c r="C31">
        <v>4</v>
      </c>
      <c r="D31" s="18" t="s">
        <v>46</v>
      </c>
      <c r="E31" s="22" t="s">
        <v>258</v>
      </c>
      <c r="F31" s="22">
        <v>921.91399999999999</v>
      </c>
      <c r="G31" s="25">
        <v>4.9279999999999973</v>
      </c>
      <c r="H31" s="25">
        <v>43.58400000000006</v>
      </c>
      <c r="I31" s="20">
        <f t="shared" si="0"/>
        <v>48.512000000000057</v>
      </c>
      <c r="J31" s="33">
        <f t="shared" si="1"/>
        <v>0.1015831134564642</v>
      </c>
      <c r="L31"/>
    </row>
    <row r="32" spans="1:12" x14ac:dyDescent="0.3">
      <c r="A32" s="16" t="s">
        <v>31</v>
      </c>
      <c r="B32" s="16">
        <v>13</v>
      </c>
      <c r="C32">
        <v>13</v>
      </c>
      <c r="D32" s="22" t="s">
        <v>47</v>
      </c>
      <c r="E32" s="22" t="s">
        <v>258</v>
      </c>
      <c r="F32">
        <v>810.96699999999998</v>
      </c>
      <c r="G32" s="23">
        <v>1.8930000000000291</v>
      </c>
      <c r="H32" s="23">
        <v>16.109000000000037</v>
      </c>
      <c r="I32" s="20">
        <f t="shared" si="0"/>
        <v>18.002000000000066</v>
      </c>
      <c r="J32" s="33">
        <f t="shared" si="1"/>
        <v>0.10515498277969237</v>
      </c>
      <c r="L32"/>
    </row>
    <row r="33" spans="1:15" x14ac:dyDescent="0.3">
      <c r="A33" s="16" t="s">
        <v>12</v>
      </c>
      <c r="B33" s="16">
        <v>8</v>
      </c>
      <c r="C33">
        <v>12</v>
      </c>
      <c r="D33" s="18" t="s">
        <v>48</v>
      </c>
      <c r="E33" s="22" t="s">
        <v>262</v>
      </c>
      <c r="F33">
        <v>15.031000000000001</v>
      </c>
      <c r="G33" s="23">
        <v>0.27500000000000036</v>
      </c>
      <c r="H33" s="23">
        <v>2.2260000000000009</v>
      </c>
      <c r="I33" s="20">
        <f t="shared" si="0"/>
        <v>2.5010000000000012</v>
      </c>
      <c r="J33" s="33">
        <f t="shared" si="1"/>
        <v>0.1099560175929629</v>
      </c>
      <c r="L33"/>
    </row>
    <row r="34" spans="1:15" x14ac:dyDescent="0.3">
      <c r="A34" s="16" t="s">
        <v>23</v>
      </c>
      <c r="B34" s="16">
        <v>12</v>
      </c>
      <c r="C34">
        <v>16</v>
      </c>
      <c r="D34" s="22" t="s">
        <v>49</v>
      </c>
      <c r="E34" s="22" t="s">
        <v>262</v>
      </c>
      <c r="F34">
        <v>121.643</v>
      </c>
      <c r="G34" s="23">
        <v>1.8329999999999984</v>
      </c>
      <c r="H34" s="23">
        <v>13.674000000000007</v>
      </c>
      <c r="I34" s="20">
        <f t="shared" si="0"/>
        <v>15.507000000000005</v>
      </c>
      <c r="J34" s="33">
        <f t="shared" si="1"/>
        <v>0.11820468175662589</v>
      </c>
      <c r="L34"/>
    </row>
    <row r="35" spans="1:15" x14ac:dyDescent="0.3">
      <c r="A35" s="16" t="s">
        <v>14</v>
      </c>
      <c r="B35" s="16">
        <v>3</v>
      </c>
      <c r="C35">
        <v>7</v>
      </c>
      <c r="D35" s="22" t="s">
        <v>50</v>
      </c>
      <c r="E35" s="22" t="s">
        <v>259</v>
      </c>
      <c r="F35">
        <v>775.54</v>
      </c>
      <c r="G35" s="23">
        <v>4.0450000000000728</v>
      </c>
      <c r="H35" s="23">
        <v>27.467999999999961</v>
      </c>
      <c r="I35" s="20">
        <f t="shared" si="0"/>
        <v>31.513000000000034</v>
      </c>
      <c r="J35" s="33">
        <f t="shared" si="1"/>
        <v>0.12835972455812103</v>
      </c>
      <c r="L35"/>
    </row>
    <row r="36" spans="1:15" x14ac:dyDescent="0.3">
      <c r="A36" s="16" t="s">
        <v>12</v>
      </c>
      <c r="B36" s="16">
        <v>14</v>
      </c>
      <c r="C36">
        <v>13</v>
      </c>
      <c r="D36" s="18" t="s">
        <v>51</v>
      </c>
      <c r="E36" s="22" t="s">
        <v>261</v>
      </c>
      <c r="F36">
        <v>657.21500000000003</v>
      </c>
      <c r="G36" s="23">
        <v>8.3770000000000664</v>
      </c>
      <c r="H36" s="23">
        <v>51.630999999999972</v>
      </c>
      <c r="I36" s="20">
        <f t="shared" si="0"/>
        <v>60.008000000000038</v>
      </c>
      <c r="J36" s="33">
        <f t="shared" si="1"/>
        <v>0.13959805359285529</v>
      </c>
      <c r="L36"/>
    </row>
    <row r="37" spans="1:15" x14ac:dyDescent="0.3">
      <c r="A37" s="16" t="s">
        <v>21</v>
      </c>
      <c r="B37" s="16">
        <v>7</v>
      </c>
      <c r="C37">
        <v>8</v>
      </c>
      <c r="D37" s="18" t="s">
        <v>52</v>
      </c>
      <c r="E37" s="22" t="s">
        <v>257</v>
      </c>
      <c r="F37">
        <v>197.488</v>
      </c>
      <c r="G37" s="32">
        <v>0.42900000000000205</v>
      </c>
      <c r="H37" s="23">
        <v>2.5740000000000123</v>
      </c>
      <c r="I37" s="20">
        <f t="shared" si="0"/>
        <v>3.0030000000000143</v>
      </c>
      <c r="J37" s="33">
        <f t="shared" si="1"/>
        <v>0.14285714285714285</v>
      </c>
      <c r="L37"/>
    </row>
    <row r="38" spans="1:15" x14ac:dyDescent="0.3">
      <c r="A38" s="16" t="s">
        <v>31</v>
      </c>
      <c r="B38" s="16">
        <v>15</v>
      </c>
      <c r="C38">
        <v>8</v>
      </c>
      <c r="D38" s="18" t="s">
        <v>53</v>
      </c>
      <c r="E38" s="22" t="s">
        <v>259</v>
      </c>
      <c r="F38">
        <v>383.03199999999998</v>
      </c>
      <c r="G38" s="23">
        <v>2.04200000000003</v>
      </c>
      <c r="H38" s="23">
        <v>10.968999999999994</v>
      </c>
      <c r="I38" s="20">
        <f t="shared" si="0"/>
        <v>13.011000000000024</v>
      </c>
      <c r="J38" s="33">
        <f t="shared" si="1"/>
        <v>0.15694412420259982</v>
      </c>
      <c r="L38" s="18"/>
      <c r="M38" s="34"/>
      <c r="N38" s="18"/>
      <c r="O38" s="18"/>
    </row>
    <row r="39" spans="1:15" x14ac:dyDescent="0.3">
      <c r="A39" s="24" t="s">
        <v>16</v>
      </c>
      <c r="B39" s="24">
        <v>11</v>
      </c>
      <c r="C39">
        <v>12</v>
      </c>
      <c r="D39" s="22" t="s">
        <v>54</v>
      </c>
      <c r="E39" s="22" t="s">
        <v>257</v>
      </c>
      <c r="F39">
        <v>930.572</v>
      </c>
      <c r="G39" s="23">
        <v>5.5929999999999609</v>
      </c>
      <c r="H39" s="23">
        <v>29.422000000000025</v>
      </c>
      <c r="I39" s="20">
        <f t="shared" si="0"/>
        <v>35.014999999999986</v>
      </c>
      <c r="J39" s="33">
        <f t="shared" si="1"/>
        <v>0.15973154362416003</v>
      </c>
      <c r="L39" s="18"/>
      <c r="M39" s="34"/>
      <c r="N39" s="18"/>
      <c r="O39" s="18"/>
    </row>
    <row r="40" spans="1:15" x14ac:dyDescent="0.3">
      <c r="A40" s="16" t="s">
        <v>21</v>
      </c>
      <c r="B40" s="16">
        <v>12</v>
      </c>
      <c r="C40">
        <v>12</v>
      </c>
      <c r="D40" s="18" t="s">
        <v>55</v>
      </c>
      <c r="E40" s="22" t="s">
        <v>260</v>
      </c>
      <c r="F40">
        <v>155.99299999999999</v>
      </c>
      <c r="G40" s="23">
        <v>4.1759999999999877</v>
      </c>
      <c r="H40" s="23">
        <v>21.335000000000008</v>
      </c>
      <c r="I40" s="20">
        <f t="shared" si="0"/>
        <v>25.510999999999996</v>
      </c>
      <c r="J40" s="33">
        <f t="shared" si="1"/>
        <v>0.16369409274430594</v>
      </c>
      <c r="L40" s="18"/>
      <c r="M40" s="34"/>
      <c r="N40" s="18"/>
      <c r="O40" s="18"/>
    </row>
    <row r="41" spans="1:15" x14ac:dyDescent="0.3">
      <c r="A41" s="16" t="s">
        <v>18</v>
      </c>
      <c r="B41" s="16">
        <v>12</v>
      </c>
      <c r="C41">
        <v>10</v>
      </c>
      <c r="D41" s="18" t="s">
        <v>56</v>
      </c>
      <c r="E41" s="22" t="s">
        <v>261</v>
      </c>
      <c r="F41">
        <v>455.56700000000001</v>
      </c>
      <c r="G41" s="26">
        <v>4.3070000000000164</v>
      </c>
      <c r="H41" s="26">
        <v>21.694000000000017</v>
      </c>
      <c r="I41" s="20">
        <f t="shared" si="0"/>
        <v>26.001000000000033</v>
      </c>
      <c r="J41" s="33">
        <f t="shared" si="1"/>
        <v>0.16564747509711206</v>
      </c>
      <c r="L41" s="18"/>
      <c r="M41" s="35"/>
      <c r="N41" s="18"/>
      <c r="O41" s="18"/>
    </row>
    <row r="42" spans="1:15" x14ac:dyDescent="0.3">
      <c r="A42" s="16" t="s">
        <v>31</v>
      </c>
      <c r="B42" s="16">
        <v>12</v>
      </c>
      <c r="C42">
        <v>14</v>
      </c>
      <c r="D42" s="22" t="s">
        <v>57</v>
      </c>
      <c r="E42" s="22" t="s">
        <v>261</v>
      </c>
      <c r="F42">
        <v>182.19</v>
      </c>
      <c r="G42" s="23">
        <v>1.9060000000000059</v>
      </c>
      <c r="H42" s="23">
        <v>9.5960000000000036</v>
      </c>
      <c r="I42" s="20">
        <f t="shared" si="0"/>
        <v>11.50200000000001</v>
      </c>
      <c r="J42" s="33">
        <f t="shared" si="1"/>
        <v>0.16571031125021773</v>
      </c>
      <c r="L42" s="18"/>
      <c r="M42" s="34"/>
      <c r="N42" s="18"/>
      <c r="O42" s="18"/>
    </row>
    <row r="43" spans="1:15" x14ac:dyDescent="0.3">
      <c r="A43" s="16" t="s">
        <v>23</v>
      </c>
      <c r="B43" s="16">
        <v>6</v>
      </c>
      <c r="C43">
        <v>9</v>
      </c>
      <c r="D43" s="22" t="s">
        <v>58</v>
      </c>
      <c r="E43" s="22" t="s">
        <v>261</v>
      </c>
      <c r="F43">
        <v>349.34399999999999</v>
      </c>
      <c r="G43" s="23">
        <v>7.4180000000000064</v>
      </c>
      <c r="H43" s="23">
        <v>37.084000000000003</v>
      </c>
      <c r="I43" s="20">
        <f t="shared" si="0"/>
        <v>44.50200000000001</v>
      </c>
      <c r="J43" s="33">
        <f t="shared" si="1"/>
        <v>0.16668913756685103</v>
      </c>
      <c r="L43" s="18"/>
      <c r="M43" s="34"/>
      <c r="N43" s="18"/>
      <c r="O43" s="18"/>
    </row>
    <row r="44" spans="1:15" x14ac:dyDescent="0.3">
      <c r="A44" s="16" t="s">
        <v>59</v>
      </c>
      <c r="B44" s="16">
        <v>8</v>
      </c>
      <c r="C44">
        <v>7</v>
      </c>
      <c r="D44" s="18" t="s">
        <v>60</v>
      </c>
      <c r="E44" s="66" t="s">
        <v>259</v>
      </c>
      <c r="F44">
        <v>262.43700000000001</v>
      </c>
      <c r="G44" s="23">
        <v>4.4269999999999641</v>
      </c>
      <c r="H44" s="23">
        <v>21.084000000000003</v>
      </c>
      <c r="I44" s="20">
        <f t="shared" si="0"/>
        <v>25.510999999999967</v>
      </c>
      <c r="J44" s="33">
        <f t="shared" si="1"/>
        <v>0.17353298577084275</v>
      </c>
      <c r="L44" s="18"/>
      <c r="M44" s="34"/>
      <c r="N44" s="18"/>
      <c r="O44" s="18"/>
    </row>
    <row r="45" spans="1:15" x14ac:dyDescent="0.3">
      <c r="A45" s="16" t="s">
        <v>12</v>
      </c>
      <c r="B45" s="16">
        <v>8</v>
      </c>
      <c r="C45">
        <v>6</v>
      </c>
      <c r="D45" s="18" t="s">
        <v>61</v>
      </c>
      <c r="E45" s="22" t="s">
        <v>259</v>
      </c>
      <c r="F45">
        <v>115.696</v>
      </c>
      <c r="G45" s="23">
        <v>6.7310000000000088</v>
      </c>
      <c r="H45" s="23">
        <v>30.823999999999998</v>
      </c>
      <c r="I45" s="20">
        <f t="shared" si="0"/>
        <v>37.555000000000007</v>
      </c>
      <c r="J45" s="33">
        <f t="shared" si="1"/>
        <v>0.17923046198908288</v>
      </c>
      <c r="L45" s="18"/>
      <c r="M45" s="34"/>
      <c r="N45" s="18"/>
      <c r="O45" s="18"/>
    </row>
    <row r="46" spans="1:15" x14ac:dyDescent="0.3">
      <c r="A46" s="16" t="s">
        <v>14</v>
      </c>
      <c r="B46" s="16">
        <v>5</v>
      </c>
      <c r="C46">
        <v>7</v>
      </c>
      <c r="D46" s="22" t="s">
        <v>62</v>
      </c>
      <c r="E46" s="22" t="s">
        <v>259</v>
      </c>
      <c r="F46">
        <v>482.73399999999998</v>
      </c>
      <c r="G46" s="23">
        <v>6.2259999999999991</v>
      </c>
      <c r="H46" s="23">
        <v>27.788999999999987</v>
      </c>
      <c r="I46" s="20">
        <f t="shared" si="0"/>
        <v>34.014999999999986</v>
      </c>
      <c r="J46" s="33">
        <f t="shared" si="1"/>
        <v>0.18303689548728508</v>
      </c>
      <c r="L46" s="18"/>
      <c r="M46" s="34"/>
      <c r="N46" s="18"/>
      <c r="O46" s="18"/>
    </row>
    <row r="47" spans="1:15" x14ac:dyDescent="0.3">
      <c r="A47" s="16" t="s">
        <v>31</v>
      </c>
      <c r="B47" s="16">
        <v>15</v>
      </c>
      <c r="C47">
        <v>2</v>
      </c>
      <c r="D47" s="18" t="s">
        <v>63</v>
      </c>
      <c r="E47" s="22" t="s">
        <v>262</v>
      </c>
      <c r="F47" s="22">
        <v>772.15800000000002</v>
      </c>
      <c r="G47" s="32">
        <v>2.4049999999999727</v>
      </c>
      <c r="H47" s="32">
        <v>9.5990000000000464</v>
      </c>
      <c r="I47" s="20">
        <f t="shared" si="0"/>
        <v>12.004000000000019</v>
      </c>
      <c r="J47" s="36">
        <f t="shared" si="1"/>
        <v>0.20034988337220666</v>
      </c>
      <c r="L47" s="18"/>
      <c r="M47" s="34"/>
      <c r="N47" s="18"/>
      <c r="O47" s="18"/>
    </row>
    <row r="48" spans="1:15" x14ac:dyDescent="0.3">
      <c r="A48" s="24" t="s">
        <v>16</v>
      </c>
      <c r="B48" s="24">
        <v>11</v>
      </c>
      <c r="C48">
        <v>3</v>
      </c>
      <c r="D48" s="22" t="s">
        <v>64</v>
      </c>
      <c r="E48" s="22" t="s">
        <v>258</v>
      </c>
      <c r="F48" s="18">
        <v>202.13499999999999</v>
      </c>
      <c r="G48" s="27">
        <v>2.1149999999999798</v>
      </c>
      <c r="H48" s="27">
        <v>8.3989999999999991</v>
      </c>
      <c r="I48" s="20">
        <f t="shared" si="0"/>
        <v>10.513999999999978</v>
      </c>
      <c r="J48" s="36">
        <f t="shared" si="1"/>
        <v>0.20116035761841203</v>
      </c>
      <c r="L48" s="18"/>
      <c r="M48" s="34"/>
      <c r="N48" s="18"/>
      <c r="O48" s="18"/>
    </row>
    <row r="49" spans="1:15" x14ac:dyDescent="0.3">
      <c r="A49" s="16" t="s">
        <v>21</v>
      </c>
      <c r="B49" s="16">
        <v>10</v>
      </c>
      <c r="C49">
        <v>9</v>
      </c>
      <c r="D49" s="18" t="s">
        <v>65</v>
      </c>
      <c r="E49" s="22" t="s">
        <v>259</v>
      </c>
      <c r="F49">
        <v>347.50799999999998</v>
      </c>
      <c r="G49" s="23">
        <v>9.2540000000000191</v>
      </c>
      <c r="H49" s="23">
        <v>35.24799999999999</v>
      </c>
      <c r="I49" s="20">
        <f t="shared" si="0"/>
        <v>44.50200000000001</v>
      </c>
      <c r="J49" s="36">
        <f t="shared" si="1"/>
        <v>0.20794571030515521</v>
      </c>
      <c r="L49" s="18"/>
      <c r="M49" s="34"/>
      <c r="N49" s="18"/>
      <c r="O49" s="18"/>
    </row>
    <row r="50" spans="1:15" x14ac:dyDescent="0.3">
      <c r="A50" s="16" t="s">
        <v>59</v>
      </c>
      <c r="B50" s="16">
        <v>8</v>
      </c>
      <c r="C50">
        <v>16</v>
      </c>
      <c r="D50" s="22" t="s">
        <v>66</v>
      </c>
      <c r="E50" s="66" t="s">
        <v>261</v>
      </c>
      <c r="F50">
        <v>190.33799999999999</v>
      </c>
      <c r="G50" s="23">
        <v>2.0080000000000098</v>
      </c>
      <c r="H50" s="23">
        <v>7.4969999999999857</v>
      </c>
      <c r="I50" s="20">
        <f t="shared" si="0"/>
        <v>9.5049999999999955</v>
      </c>
      <c r="J50" s="36">
        <f t="shared" si="1"/>
        <v>0.21125723303524574</v>
      </c>
      <c r="L50" s="18"/>
      <c r="M50" s="34"/>
      <c r="N50" s="18"/>
      <c r="O50" s="18"/>
    </row>
    <row r="51" spans="1:15" x14ac:dyDescent="0.3">
      <c r="A51" s="16" t="s">
        <v>31</v>
      </c>
      <c r="B51" s="16">
        <v>16</v>
      </c>
      <c r="C51">
        <v>4</v>
      </c>
      <c r="D51" s="18" t="s">
        <v>67</v>
      </c>
      <c r="E51" s="22" t="s">
        <v>257</v>
      </c>
      <c r="F51" s="22">
        <v>1314.1659999999999</v>
      </c>
      <c r="G51" s="25">
        <v>5.5760000000000218</v>
      </c>
      <c r="H51" s="25">
        <v>20.423999999999978</v>
      </c>
      <c r="I51" s="20">
        <f t="shared" si="0"/>
        <v>26</v>
      </c>
      <c r="J51" s="36">
        <f t="shared" si="1"/>
        <v>0.21446153846153931</v>
      </c>
      <c r="L51" s="18"/>
      <c r="M51" s="34"/>
      <c r="N51" s="18"/>
      <c r="O51" s="18"/>
    </row>
    <row r="52" spans="1:15" x14ac:dyDescent="0.3">
      <c r="A52" s="16" t="s">
        <v>14</v>
      </c>
      <c r="B52" s="16">
        <v>10</v>
      </c>
      <c r="C52">
        <v>4</v>
      </c>
      <c r="D52" s="22" t="s">
        <v>68</v>
      </c>
      <c r="E52" s="22" t="s">
        <v>263</v>
      </c>
      <c r="F52" s="22">
        <v>1518.2070000000001</v>
      </c>
      <c r="G52" s="25">
        <v>1.9329999999999927</v>
      </c>
      <c r="H52" s="25">
        <v>7.0670000000000073</v>
      </c>
      <c r="I52" s="20">
        <f t="shared" si="0"/>
        <v>9</v>
      </c>
      <c r="J52" s="36">
        <f t="shared" si="1"/>
        <v>0.21477777777777696</v>
      </c>
      <c r="L52" s="18"/>
      <c r="M52" s="34"/>
      <c r="N52" s="18"/>
      <c r="O52" s="18"/>
    </row>
    <row r="53" spans="1:15" x14ac:dyDescent="0.3">
      <c r="A53" s="16" t="s">
        <v>59</v>
      </c>
      <c r="B53" s="16">
        <v>10</v>
      </c>
      <c r="C53">
        <v>7</v>
      </c>
      <c r="D53" s="18" t="s">
        <v>69</v>
      </c>
      <c r="E53" s="66" t="s">
        <v>259</v>
      </c>
      <c r="F53">
        <v>1058.04</v>
      </c>
      <c r="G53" s="23">
        <v>6.1739999999999782</v>
      </c>
      <c r="H53" s="23">
        <v>22.336000000000013</v>
      </c>
      <c r="I53" s="20">
        <f t="shared" si="0"/>
        <v>28.509999999999991</v>
      </c>
      <c r="J53" s="36">
        <f t="shared" si="1"/>
        <v>0.216555594528235</v>
      </c>
      <c r="L53" s="18"/>
      <c r="M53" s="34"/>
      <c r="N53" s="18"/>
      <c r="O53" s="18"/>
    </row>
    <row r="54" spans="1:15" x14ac:dyDescent="0.3">
      <c r="A54" s="16" t="s">
        <v>23</v>
      </c>
      <c r="B54" s="16">
        <v>11</v>
      </c>
      <c r="C54">
        <v>14</v>
      </c>
      <c r="D54" s="22" t="s">
        <v>70</v>
      </c>
      <c r="E54" s="22" t="s">
        <v>261</v>
      </c>
      <c r="F54">
        <v>500.39</v>
      </c>
      <c r="G54" s="23">
        <v>6.4569999999999936</v>
      </c>
      <c r="H54" s="23">
        <v>23.048999999999978</v>
      </c>
      <c r="I54" s="20">
        <f t="shared" si="0"/>
        <v>29.505999999999972</v>
      </c>
      <c r="J54" s="36">
        <f t="shared" si="1"/>
        <v>0.2188368467430353</v>
      </c>
      <c r="L54" s="18"/>
      <c r="M54" s="35"/>
      <c r="N54" s="18"/>
      <c r="O54" s="18"/>
    </row>
    <row r="55" spans="1:15" x14ac:dyDescent="0.3">
      <c r="A55" s="16" t="s">
        <v>21</v>
      </c>
      <c r="B55" s="16">
        <v>10</v>
      </c>
      <c r="C55">
        <v>11</v>
      </c>
      <c r="D55" s="18" t="s">
        <v>71</v>
      </c>
      <c r="E55" s="22" t="s">
        <v>259</v>
      </c>
      <c r="F55">
        <v>508.79199999999997</v>
      </c>
      <c r="G55" s="23">
        <v>7.7199999999999704</v>
      </c>
      <c r="H55" s="23">
        <v>27.297999999999945</v>
      </c>
      <c r="I55" s="20">
        <f t="shared" si="0"/>
        <v>35.017999999999915</v>
      </c>
      <c r="J55" s="36">
        <f t="shared" si="1"/>
        <v>0.22045805014563907</v>
      </c>
      <c r="L55" s="18"/>
      <c r="M55" s="34"/>
      <c r="N55" s="18"/>
      <c r="O55" s="18"/>
    </row>
    <row r="56" spans="1:15" x14ac:dyDescent="0.3">
      <c r="A56" s="16" t="s">
        <v>23</v>
      </c>
      <c r="B56" s="16">
        <v>13</v>
      </c>
      <c r="C56">
        <v>2</v>
      </c>
      <c r="D56" s="22" t="s">
        <v>72</v>
      </c>
      <c r="E56" s="22" t="s">
        <v>263</v>
      </c>
      <c r="F56" s="22">
        <v>125.40300000000001</v>
      </c>
      <c r="G56" s="37">
        <v>3.3989999999999867</v>
      </c>
      <c r="H56" s="37">
        <v>11.606999999999999</v>
      </c>
      <c r="I56" s="20">
        <f t="shared" si="0"/>
        <v>15.005999999999986</v>
      </c>
      <c r="J56" s="36">
        <f t="shared" si="1"/>
        <v>0.22650939624150274</v>
      </c>
      <c r="L56" s="18"/>
      <c r="M56" s="34"/>
      <c r="N56" s="18"/>
      <c r="O56" s="18"/>
    </row>
    <row r="57" spans="1:15" x14ac:dyDescent="0.3">
      <c r="A57" s="16" t="s">
        <v>23</v>
      </c>
      <c r="B57" s="16">
        <v>9</v>
      </c>
      <c r="C57">
        <v>7</v>
      </c>
      <c r="D57" s="38" t="s">
        <v>73</v>
      </c>
      <c r="E57" s="22" t="s">
        <v>258</v>
      </c>
      <c r="F57">
        <v>885.38400000000001</v>
      </c>
      <c r="G57" s="23">
        <v>5.7490000000000236</v>
      </c>
      <c r="H57" s="23">
        <v>19.260999999999967</v>
      </c>
      <c r="I57" s="20">
        <f t="shared" si="0"/>
        <v>25.009999999999991</v>
      </c>
      <c r="J57" s="36">
        <f t="shared" si="1"/>
        <v>0.22986805277888947</v>
      </c>
      <c r="L57" s="18"/>
      <c r="M57" s="34"/>
      <c r="N57" s="18"/>
      <c r="O57" s="18"/>
    </row>
    <row r="58" spans="1:15" x14ac:dyDescent="0.3">
      <c r="A58" s="24" t="s">
        <v>23</v>
      </c>
      <c r="B58" s="24">
        <v>14</v>
      </c>
      <c r="C58" s="17">
        <v>7</v>
      </c>
      <c r="D58" s="18" t="s">
        <v>74</v>
      </c>
      <c r="E58" s="22" t="s">
        <v>257</v>
      </c>
      <c r="F58" s="17">
        <v>197.08699999999999</v>
      </c>
      <c r="G58" s="19">
        <v>6.25</v>
      </c>
      <c r="H58" s="19">
        <v>20.762</v>
      </c>
      <c r="I58" s="28">
        <f t="shared" si="0"/>
        <v>27.012</v>
      </c>
      <c r="J58" s="39">
        <f t="shared" si="1"/>
        <v>0.23137864652746926</v>
      </c>
      <c r="L58" s="18"/>
      <c r="M58" s="34"/>
      <c r="N58" s="18"/>
      <c r="O58" s="18"/>
    </row>
    <row r="59" spans="1:15" x14ac:dyDescent="0.3">
      <c r="A59" s="16" t="s">
        <v>12</v>
      </c>
      <c r="B59" s="16">
        <v>7</v>
      </c>
      <c r="C59">
        <v>10</v>
      </c>
      <c r="D59" s="18" t="s">
        <v>75</v>
      </c>
      <c r="E59" s="22" t="s">
        <v>263</v>
      </c>
      <c r="F59">
        <v>457.44499999999999</v>
      </c>
      <c r="G59" s="26">
        <v>6.1850000000000023</v>
      </c>
      <c r="H59" s="26">
        <v>19.816000000000031</v>
      </c>
      <c r="I59" s="20">
        <f t="shared" si="0"/>
        <v>26.001000000000033</v>
      </c>
      <c r="J59" s="36">
        <f t="shared" si="1"/>
        <v>0.23787546632821793</v>
      </c>
      <c r="L59" s="18"/>
      <c r="M59" s="40"/>
      <c r="N59" s="18"/>
      <c r="O59" s="18"/>
    </row>
    <row r="60" spans="1:15" x14ac:dyDescent="0.3">
      <c r="A60" s="16" t="s">
        <v>59</v>
      </c>
      <c r="B60" s="16">
        <v>7</v>
      </c>
      <c r="C60">
        <v>15</v>
      </c>
      <c r="D60" s="18" t="s">
        <v>76</v>
      </c>
      <c r="E60" s="66" t="s">
        <v>263</v>
      </c>
      <c r="F60">
        <v>285.07100000000003</v>
      </c>
      <c r="G60" s="23">
        <v>6.3180000000000405</v>
      </c>
      <c r="H60" s="23">
        <v>20.18199999999996</v>
      </c>
      <c r="I60" s="20">
        <f t="shared" si="0"/>
        <v>26.5</v>
      </c>
      <c r="J60" s="36">
        <f t="shared" si="1"/>
        <v>0.23841509433962416</v>
      </c>
      <c r="L60" s="18"/>
      <c r="M60" s="34"/>
      <c r="N60" s="18"/>
      <c r="O60" s="18"/>
    </row>
    <row r="61" spans="1:15" x14ac:dyDescent="0.3">
      <c r="A61" s="16" t="s">
        <v>14</v>
      </c>
      <c r="B61" s="16">
        <v>8</v>
      </c>
      <c r="C61">
        <v>14</v>
      </c>
      <c r="D61" s="18" t="s">
        <v>77</v>
      </c>
      <c r="E61" s="18" t="s">
        <v>261</v>
      </c>
      <c r="F61">
        <v>658.49900000000002</v>
      </c>
      <c r="G61" s="23">
        <v>2.1230000000000473</v>
      </c>
      <c r="H61" s="23">
        <v>6.3779999999999291</v>
      </c>
      <c r="I61" s="20">
        <f t="shared" si="0"/>
        <v>8.5009999999999764</v>
      </c>
      <c r="J61" s="36">
        <f t="shared" si="1"/>
        <v>0.24973532525585851</v>
      </c>
      <c r="L61" s="18"/>
      <c r="M61" s="34"/>
      <c r="N61" s="18"/>
      <c r="O61" s="18"/>
    </row>
    <row r="62" spans="1:15" x14ac:dyDescent="0.3">
      <c r="A62" s="16" t="s">
        <v>12</v>
      </c>
      <c r="B62" s="16">
        <v>10</v>
      </c>
      <c r="C62">
        <v>14</v>
      </c>
      <c r="D62" s="18" t="s">
        <v>78</v>
      </c>
      <c r="E62" s="22" t="s">
        <v>258</v>
      </c>
      <c r="F62">
        <v>155.274</v>
      </c>
      <c r="G62" s="23">
        <v>3.5060000000000002</v>
      </c>
      <c r="H62" s="23">
        <v>10.497000000000014</v>
      </c>
      <c r="I62" s="20">
        <f t="shared" si="0"/>
        <v>14.003000000000014</v>
      </c>
      <c r="J62" s="36">
        <f t="shared" si="1"/>
        <v>0.25037491966007258</v>
      </c>
      <c r="L62" s="18"/>
      <c r="M62" s="34"/>
      <c r="N62" s="18"/>
      <c r="O62" s="18"/>
    </row>
    <row r="63" spans="1:15" x14ac:dyDescent="0.3">
      <c r="A63" s="24" t="s">
        <v>16</v>
      </c>
      <c r="B63" s="24">
        <v>8</v>
      </c>
      <c r="C63">
        <v>7</v>
      </c>
      <c r="D63" s="22" t="s">
        <v>79</v>
      </c>
      <c r="E63" s="22" t="s">
        <v>261</v>
      </c>
      <c r="F63">
        <v>903.67</v>
      </c>
      <c r="G63" s="23">
        <v>12.536999999999921</v>
      </c>
      <c r="H63" s="23">
        <v>37.485000000000014</v>
      </c>
      <c r="I63" s="20">
        <f t="shared" si="0"/>
        <v>50.021999999999935</v>
      </c>
      <c r="J63" s="36">
        <f t="shared" si="1"/>
        <v>0.2506297229219131</v>
      </c>
      <c r="L63" s="18"/>
      <c r="M63" s="34"/>
      <c r="N63" s="18"/>
      <c r="O63" s="18"/>
    </row>
    <row r="64" spans="1:15" x14ac:dyDescent="0.3">
      <c r="A64" s="16" t="s">
        <v>18</v>
      </c>
      <c r="B64" s="16">
        <v>12</v>
      </c>
      <c r="C64">
        <v>4</v>
      </c>
      <c r="D64" s="18" t="s">
        <v>80</v>
      </c>
      <c r="E64" s="22" t="s">
        <v>261</v>
      </c>
      <c r="F64" s="18">
        <v>1315.2950000000001</v>
      </c>
      <c r="G64" s="25">
        <v>6.7050000000001546</v>
      </c>
      <c r="H64" s="25">
        <v>19.294999999999845</v>
      </c>
      <c r="I64" s="20">
        <f t="shared" si="0"/>
        <v>26</v>
      </c>
      <c r="J64" s="36">
        <f t="shared" si="1"/>
        <v>0.25788461538462132</v>
      </c>
      <c r="L64" s="18"/>
      <c r="M64" s="34"/>
      <c r="N64" s="18"/>
      <c r="O64" s="18"/>
    </row>
    <row r="65" spans="1:15" x14ac:dyDescent="0.3">
      <c r="A65" s="16" t="s">
        <v>18</v>
      </c>
      <c r="B65" s="16">
        <v>12</v>
      </c>
      <c r="C65">
        <v>11</v>
      </c>
      <c r="D65" s="18" t="s">
        <v>81</v>
      </c>
      <c r="E65" s="22" t="s">
        <v>263</v>
      </c>
      <c r="F65">
        <v>5.5670000000000002</v>
      </c>
      <c r="G65" s="23">
        <v>1.3150000000000004</v>
      </c>
      <c r="H65" s="23">
        <v>3.6869999999999994</v>
      </c>
      <c r="I65" s="20">
        <f t="shared" si="0"/>
        <v>5.0019999999999998</v>
      </c>
      <c r="J65" s="36">
        <f t="shared" si="1"/>
        <v>0.26289484206317482</v>
      </c>
      <c r="L65" s="18"/>
      <c r="M65" s="34"/>
      <c r="N65" s="18"/>
      <c r="O65" s="18"/>
    </row>
    <row r="66" spans="1:15" x14ac:dyDescent="0.3">
      <c r="A66" s="16" t="s">
        <v>18</v>
      </c>
      <c r="B66" s="16">
        <v>10</v>
      </c>
      <c r="C66">
        <v>13</v>
      </c>
      <c r="D66" s="18" t="s">
        <v>82</v>
      </c>
      <c r="E66" s="22" t="s">
        <v>264</v>
      </c>
      <c r="F66">
        <v>497.608</v>
      </c>
      <c r="G66" s="23">
        <v>6.7099999999999795</v>
      </c>
      <c r="H66" s="23">
        <v>18.793000000000006</v>
      </c>
      <c r="I66" s="20">
        <f t="shared" si="0"/>
        <v>25.502999999999986</v>
      </c>
      <c r="J66" s="36">
        <f t="shared" si="1"/>
        <v>0.26310630121946371</v>
      </c>
      <c r="L66" s="18"/>
      <c r="M66" s="34"/>
      <c r="N66" s="18"/>
      <c r="O66" s="18"/>
    </row>
    <row r="67" spans="1:15" x14ac:dyDescent="0.3">
      <c r="A67" s="16" t="s">
        <v>31</v>
      </c>
      <c r="B67" s="16">
        <v>12</v>
      </c>
      <c r="C67">
        <v>8</v>
      </c>
      <c r="D67" s="18" t="s">
        <v>83</v>
      </c>
      <c r="E67" s="22" t="s">
        <v>257</v>
      </c>
      <c r="F67">
        <v>439.87299999999999</v>
      </c>
      <c r="G67" s="23">
        <v>7.7540000000000191</v>
      </c>
      <c r="H67" s="23">
        <v>21.269999999999982</v>
      </c>
      <c r="I67" s="20">
        <f t="shared" si="0"/>
        <v>29.024000000000001</v>
      </c>
      <c r="J67" s="36">
        <f t="shared" si="1"/>
        <v>0.26715821389195216</v>
      </c>
      <c r="L67"/>
    </row>
    <row r="68" spans="1:15" x14ac:dyDescent="0.3">
      <c r="A68" s="16" t="s">
        <v>18</v>
      </c>
      <c r="B68" s="16">
        <v>4</v>
      </c>
      <c r="C68">
        <v>16</v>
      </c>
      <c r="D68" s="22" t="s">
        <v>84</v>
      </c>
      <c r="E68" s="22" t="s">
        <v>259</v>
      </c>
      <c r="F68">
        <v>64.427000000000007</v>
      </c>
      <c r="G68" s="23">
        <v>8.3589999999999947</v>
      </c>
      <c r="H68" s="23">
        <v>22.657000000000004</v>
      </c>
      <c r="I68" s="20">
        <f t="shared" ref="I68:I99" si="2">SUM(G68:H68)</f>
        <v>31.015999999999998</v>
      </c>
      <c r="J68" s="36">
        <f t="shared" ref="J68:J131" si="3">G68/SUM(G68:H68)</f>
        <v>0.26950606138767075</v>
      </c>
      <c r="L68"/>
    </row>
    <row r="69" spans="1:15" x14ac:dyDescent="0.3">
      <c r="A69" s="16" t="s">
        <v>14</v>
      </c>
      <c r="B69" s="16">
        <v>9</v>
      </c>
      <c r="C69">
        <v>12</v>
      </c>
      <c r="D69" s="18" t="s">
        <v>85</v>
      </c>
      <c r="E69" s="18" t="s">
        <v>258</v>
      </c>
      <c r="F69">
        <v>360.16</v>
      </c>
      <c r="G69" s="23">
        <v>16.256999999999948</v>
      </c>
      <c r="H69" s="23">
        <v>43.770000000000039</v>
      </c>
      <c r="I69" s="20">
        <f t="shared" si="2"/>
        <v>60.026999999999987</v>
      </c>
      <c r="J69" s="36">
        <f t="shared" si="3"/>
        <v>0.27082812734269496</v>
      </c>
      <c r="L69"/>
    </row>
    <row r="70" spans="1:15" x14ac:dyDescent="0.3">
      <c r="A70" s="16" t="s">
        <v>12</v>
      </c>
      <c r="B70" s="16">
        <v>7</v>
      </c>
      <c r="C70">
        <v>4</v>
      </c>
      <c r="D70" s="18" t="s">
        <v>86</v>
      </c>
      <c r="E70" s="22" t="s">
        <v>262</v>
      </c>
      <c r="F70" s="22">
        <v>567.20000000000005</v>
      </c>
      <c r="G70" s="25">
        <v>12.807999999999993</v>
      </c>
      <c r="H70" s="25">
        <v>32.203999999999951</v>
      </c>
      <c r="I70" s="20">
        <f t="shared" si="2"/>
        <v>45.011999999999944</v>
      </c>
      <c r="J70" s="36">
        <f t="shared" si="3"/>
        <v>0.28454634319736977</v>
      </c>
      <c r="L70"/>
    </row>
    <row r="71" spans="1:15" x14ac:dyDescent="0.3">
      <c r="A71" s="16" t="s">
        <v>14</v>
      </c>
      <c r="B71" s="16">
        <v>4</v>
      </c>
      <c r="C71">
        <v>2</v>
      </c>
      <c r="D71" s="22" t="s">
        <v>87</v>
      </c>
      <c r="E71" s="22" t="s">
        <v>258</v>
      </c>
      <c r="F71" s="22">
        <v>734.94200000000001</v>
      </c>
      <c r="G71" s="32">
        <v>2.8959999999999582</v>
      </c>
      <c r="H71" s="32">
        <v>7.1079999999999472</v>
      </c>
      <c r="I71" s="20">
        <f t="shared" si="2"/>
        <v>10.003999999999905</v>
      </c>
      <c r="J71" s="36">
        <f t="shared" si="3"/>
        <v>0.28948420631747157</v>
      </c>
      <c r="L71"/>
    </row>
    <row r="72" spans="1:15" x14ac:dyDescent="0.3">
      <c r="A72" s="16" t="s">
        <v>31</v>
      </c>
      <c r="B72" s="16">
        <v>3</v>
      </c>
      <c r="C72">
        <v>13</v>
      </c>
      <c r="D72" s="18" t="s">
        <v>88</v>
      </c>
      <c r="E72" s="22" t="s">
        <v>261</v>
      </c>
      <c r="F72">
        <v>439.91500000000002</v>
      </c>
      <c r="G72" s="23">
        <v>7.1059999999999945</v>
      </c>
      <c r="H72" s="23">
        <v>17.396999999999991</v>
      </c>
      <c r="I72" s="20">
        <f t="shared" si="2"/>
        <v>24.502999999999986</v>
      </c>
      <c r="J72" s="36">
        <f t="shared" si="3"/>
        <v>0.29000530547279918</v>
      </c>
      <c r="L72"/>
    </row>
    <row r="73" spans="1:15" x14ac:dyDescent="0.3">
      <c r="A73" s="16" t="s">
        <v>14</v>
      </c>
      <c r="B73" s="16">
        <v>14</v>
      </c>
      <c r="C73">
        <v>11</v>
      </c>
      <c r="D73" s="22" t="s">
        <v>89</v>
      </c>
      <c r="E73" s="22" t="s">
        <v>257</v>
      </c>
      <c r="F73">
        <v>322.94600000000003</v>
      </c>
      <c r="G73" s="23">
        <v>2.4689999999999941</v>
      </c>
      <c r="H73" s="23">
        <v>6.035000000000025</v>
      </c>
      <c r="I73" s="20">
        <f t="shared" si="2"/>
        <v>8.5040000000000191</v>
      </c>
      <c r="J73" s="36">
        <f t="shared" si="3"/>
        <v>0.2903339604891802</v>
      </c>
      <c r="L73"/>
    </row>
    <row r="74" spans="1:15" x14ac:dyDescent="0.3">
      <c r="A74" s="16" t="s">
        <v>31</v>
      </c>
      <c r="B74" s="16">
        <v>17</v>
      </c>
      <c r="C74">
        <v>16</v>
      </c>
      <c r="D74" s="22" t="s">
        <v>90</v>
      </c>
      <c r="E74" s="22" t="s">
        <v>257</v>
      </c>
      <c r="F74">
        <v>551.97500000000002</v>
      </c>
      <c r="G74" s="23">
        <v>8.5559999999999263</v>
      </c>
      <c r="H74" s="23">
        <v>20.45900000000006</v>
      </c>
      <c r="I74" s="20">
        <f t="shared" si="2"/>
        <v>29.014999999999986</v>
      </c>
      <c r="J74" s="36">
        <f t="shared" si="3"/>
        <v>0.29488195760813135</v>
      </c>
      <c r="L74"/>
    </row>
    <row r="75" spans="1:15" x14ac:dyDescent="0.3">
      <c r="A75" s="16" t="s">
        <v>31</v>
      </c>
      <c r="B75" s="16">
        <v>16</v>
      </c>
      <c r="C75">
        <v>11</v>
      </c>
      <c r="D75" s="18" t="s">
        <v>91</v>
      </c>
      <c r="E75" s="22" t="s">
        <v>261</v>
      </c>
      <c r="F75">
        <v>520.20500000000004</v>
      </c>
      <c r="G75" s="23">
        <v>3.6930000000000973</v>
      </c>
      <c r="H75" s="23">
        <v>8.8129999999999882</v>
      </c>
      <c r="I75" s="20">
        <f t="shared" si="2"/>
        <v>12.506000000000085</v>
      </c>
      <c r="J75" s="36">
        <f t="shared" si="3"/>
        <v>0.29529825683672412</v>
      </c>
      <c r="L75"/>
    </row>
    <row r="76" spans="1:15" x14ac:dyDescent="0.3">
      <c r="A76" s="16" t="s">
        <v>31</v>
      </c>
      <c r="B76" s="16">
        <v>17</v>
      </c>
      <c r="C76">
        <v>13</v>
      </c>
      <c r="D76" s="22" t="s">
        <v>92</v>
      </c>
      <c r="E76" s="22" t="s">
        <v>265</v>
      </c>
      <c r="F76">
        <v>666.60799999999995</v>
      </c>
      <c r="G76" s="23">
        <v>17.769999999999982</v>
      </c>
      <c r="H76" s="23">
        <v>42.238000000000056</v>
      </c>
      <c r="I76" s="20">
        <f t="shared" si="2"/>
        <v>60.008000000000038</v>
      </c>
      <c r="J76" s="36">
        <f t="shared" si="3"/>
        <v>0.29612718304226054</v>
      </c>
      <c r="L76"/>
    </row>
    <row r="77" spans="1:15" x14ac:dyDescent="0.3">
      <c r="A77" s="16" t="s">
        <v>59</v>
      </c>
      <c r="B77" s="16">
        <v>7</v>
      </c>
      <c r="C77">
        <v>15</v>
      </c>
      <c r="D77" s="18" t="s">
        <v>93</v>
      </c>
      <c r="E77" s="66" t="s">
        <v>262</v>
      </c>
      <c r="F77">
        <v>355.81400000000002</v>
      </c>
      <c r="G77" s="23">
        <v>16.560000000000002</v>
      </c>
      <c r="H77" s="23">
        <v>38.94</v>
      </c>
      <c r="I77" s="20">
        <f t="shared" si="2"/>
        <v>55.5</v>
      </c>
      <c r="J77" s="36">
        <f t="shared" si="3"/>
        <v>0.29837837837837844</v>
      </c>
      <c r="L77"/>
    </row>
    <row r="78" spans="1:15" x14ac:dyDescent="0.3">
      <c r="A78" s="16" t="s">
        <v>21</v>
      </c>
      <c r="B78" s="16">
        <v>4</v>
      </c>
      <c r="C78">
        <v>16</v>
      </c>
      <c r="D78" s="22" t="s">
        <v>94</v>
      </c>
      <c r="E78" s="22" t="s">
        <v>259</v>
      </c>
      <c r="F78">
        <v>624.63400000000001</v>
      </c>
      <c r="G78" s="23">
        <v>7.9329999999999927</v>
      </c>
      <c r="H78" s="23">
        <v>18.580000000000041</v>
      </c>
      <c r="I78" s="20">
        <f t="shared" si="2"/>
        <v>26.513000000000034</v>
      </c>
      <c r="J78" s="36">
        <f t="shared" si="3"/>
        <v>0.29921170746426218</v>
      </c>
      <c r="L78"/>
    </row>
    <row r="79" spans="1:15" x14ac:dyDescent="0.3">
      <c r="A79" s="16" t="s">
        <v>18</v>
      </c>
      <c r="B79" s="16">
        <v>5</v>
      </c>
      <c r="C79">
        <v>13</v>
      </c>
      <c r="D79" s="18" t="s">
        <v>95</v>
      </c>
      <c r="E79" s="22" t="s">
        <v>265</v>
      </c>
      <c r="F79">
        <v>766.01900000000001</v>
      </c>
      <c r="G79" s="23">
        <v>3.1649999999999636</v>
      </c>
      <c r="H79" s="23">
        <v>7.3360000000000127</v>
      </c>
      <c r="I79" s="20">
        <f t="shared" si="2"/>
        <v>10.500999999999976</v>
      </c>
      <c r="J79" s="41">
        <f t="shared" si="3"/>
        <v>0.30139986667936108</v>
      </c>
      <c r="L79"/>
    </row>
    <row r="80" spans="1:15" x14ac:dyDescent="0.3">
      <c r="A80" s="16" t="s">
        <v>18</v>
      </c>
      <c r="B80" s="16">
        <v>3</v>
      </c>
      <c r="C80">
        <v>10</v>
      </c>
      <c r="D80" s="18" t="s">
        <v>96</v>
      </c>
      <c r="E80" s="22" t="s">
        <v>261</v>
      </c>
      <c r="F80">
        <v>486.928</v>
      </c>
      <c r="G80" s="26">
        <v>2.1669999999999732</v>
      </c>
      <c r="H80" s="26">
        <v>4.8330000000000268</v>
      </c>
      <c r="I80" s="20">
        <f t="shared" si="2"/>
        <v>7</v>
      </c>
      <c r="J80" s="41">
        <f t="shared" si="3"/>
        <v>0.30957142857142472</v>
      </c>
      <c r="L80"/>
    </row>
    <row r="81" spans="1:12" x14ac:dyDescent="0.3">
      <c r="A81" s="16" t="s">
        <v>21</v>
      </c>
      <c r="B81" s="16">
        <v>8</v>
      </c>
      <c r="C81">
        <v>3</v>
      </c>
      <c r="D81" s="18" t="s">
        <v>97</v>
      </c>
      <c r="E81" s="22" t="s">
        <v>258</v>
      </c>
      <c r="F81" s="22">
        <v>222.08699999999999</v>
      </c>
      <c r="G81" s="27">
        <v>5.4699999999999989</v>
      </c>
      <c r="H81" s="27">
        <v>11.552999999999997</v>
      </c>
      <c r="I81" s="20">
        <f t="shared" si="2"/>
        <v>17.022999999999996</v>
      </c>
      <c r="J81" s="41">
        <f t="shared" si="3"/>
        <v>0.32132996534100922</v>
      </c>
      <c r="L81"/>
    </row>
    <row r="82" spans="1:12" x14ac:dyDescent="0.3">
      <c r="A82" s="16" t="s">
        <v>12</v>
      </c>
      <c r="B82" s="16">
        <v>14</v>
      </c>
      <c r="C82">
        <v>13</v>
      </c>
      <c r="D82" s="18" t="s">
        <v>98</v>
      </c>
      <c r="E82" s="22" t="s">
        <v>265</v>
      </c>
      <c r="F82">
        <v>829.03899999999999</v>
      </c>
      <c r="G82" s="23">
        <v>16.178999999999974</v>
      </c>
      <c r="H82" s="23">
        <v>33.827999999999975</v>
      </c>
      <c r="I82" s="20">
        <f t="shared" si="2"/>
        <v>50.006999999999948</v>
      </c>
      <c r="J82" s="41">
        <f t="shared" si="3"/>
        <v>0.32353470514128002</v>
      </c>
      <c r="L82"/>
    </row>
    <row r="83" spans="1:12" x14ac:dyDescent="0.3">
      <c r="A83" s="16" t="s">
        <v>21</v>
      </c>
      <c r="B83" s="16">
        <v>8</v>
      </c>
      <c r="C83">
        <v>13</v>
      </c>
      <c r="D83" s="18" t="s">
        <v>99</v>
      </c>
      <c r="E83" s="22" t="s">
        <v>259</v>
      </c>
      <c r="F83" s="17">
        <v>531.83299999999997</v>
      </c>
      <c r="G83" s="19">
        <v>27.514999999999986</v>
      </c>
      <c r="H83" s="19">
        <v>55.497000000000071</v>
      </c>
      <c r="I83" s="28">
        <f t="shared" si="2"/>
        <v>83.012000000000057</v>
      </c>
      <c r="J83" s="42">
        <f t="shared" si="3"/>
        <v>0.33145810244301988</v>
      </c>
      <c r="L83"/>
    </row>
    <row r="84" spans="1:12" x14ac:dyDescent="0.3">
      <c r="A84" s="16" t="s">
        <v>21</v>
      </c>
      <c r="B84" s="16">
        <v>13</v>
      </c>
      <c r="C84">
        <v>9</v>
      </c>
      <c r="D84" s="18" t="s">
        <v>100</v>
      </c>
      <c r="E84" s="22" t="s">
        <v>262</v>
      </c>
      <c r="F84">
        <v>341.91699999999997</v>
      </c>
      <c r="G84" s="23">
        <v>14.845000000000027</v>
      </c>
      <c r="H84" s="23">
        <v>29.656999999999982</v>
      </c>
      <c r="I84" s="20">
        <f t="shared" si="2"/>
        <v>44.50200000000001</v>
      </c>
      <c r="J84" s="41">
        <f t="shared" si="3"/>
        <v>0.33358051323536075</v>
      </c>
      <c r="L84"/>
    </row>
    <row r="85" spans="1:12" x14ac:dyDescent="0.3">
      <c r="A85" s="16" t="s">
        <v>31</v>
      </c>
      <c r="B85" s="16">
        <v>12</v>
      </c>
      <c r="C85">
        <v>14</v>
      </c>
      <c r="D85" s="22" t="s">
        <v>101</v>
      </c>
      <c r="E85" s="22" t="s">
        <v>262</v>
      </c>
      <c r="F85">
        <v>96.147999999999996</v>
      </c>
      <c r="G85" s="23">
        <v>9.3819999999999908</v>
      </c>
      <c r="H85" s="23">
        <v>18.624000000000009</v>
      </c>
      <c r="I85" s="20">
        <f t="shared" si="2"/>
        <v>28.006</v>
      </c>
      <c r="J85" s="41">
        <f t="shared" si="3"/>
        <v>0.33499964293365675</v>
      </c>
      <c r="L85"/>
    </row>
    <row r="86" spans="1:12" x14ac:dyDescent="0.3">
      <c r="A86" s="16" t="s">
        <v>14</v>
      </c>
      <c r="B86" s="16">
        <v>12</v>
      </c>
      <c r="C86">
        <v>12</v>
      </c>
      <c r="D86" s="18" t="s">
        <v>102</v>
      </c>
      <c r="E86" s="18" t="s">
        <v>258</v>
      </c>
      <c r="F86">
        <v>131.30699999999999</v>
      </c>
      <c r="G86" s="23">
        <v>8.5050000000000239</v>
      </c>
      <c r="H86" s="23">
        <v>16.506999999999991</v>
      </c>
      <c r="I86" s="20">
        <f t="shared" si="2"/>
        <v>25.012000000000015</v>
      </c>
      <c r="J86" s="41">
        <f t="shared" si="3"/>
        <v>0.34003678234447543</v>
      </c>
      <c r="L86"/>
    </row>
    <row r="87" spans="1:12" x14ac:dyDescent="0.3">
      <c r="A87" s="16" t="s">
        <v>14</v>
      </c>
      <c r="B87" s="16">
        <v>11</v>
      </c>
      <c r="C87">
        <v>7</v>
      </c>
      <c r="D87" s="22" t="s">
        <v>103</v>
      </c>
      <c r="E87" s="22" t="s">
        <v>257</v>
      </c>
      <c r="F87">
        <v>1012.04</v>
      </c>
      <c r="G87" s="23">
        <v>12.355999999999995</v>
      </c>
      <c r="H87" s="23">
        <v>23.664000000000101</v>
      </c>
      <c r="I87" s="20">
        <f t="shared" si="2"/>
        <v>36.020000000000095</v>
      </c>
      <c r="J87" s="41">
        <f t="shared" si="3"/>
        <v>0.34303164908384126</v>
      </c>
      <c r="L87"/>
    </row>
    <row r="88" spans="1:12" x14ac:dyDescent="0.3">
      <c r="A88" s="16" t="s">
        <v>31</v>
      </c>
      <c r="B88" s="16">
        <v>4</v>
      </c>
      <c r="C88">
        <v>5</v>
      </c>
      <c r="D88" s="18" t="s">
        <v>104</v>
      </c>
      <c r="E88" s="22" t="s">
        <v>257</v>
      </c>
      <c r="F88">
        <v>397.62799999999999</v>
      </c>
      <c r="G88" s="31">
        <v>6.7810000000000059</v>
      </c>
      <c r="H88" s="31">
        <v>12.725999999999999</v>
      </c>
      <c r="I88" s="20">
        <f t="shared" si="2"/>
        <v>19.507000000000005</v>
      </c>
      <c r="J88" s="41">
        <f t="shared" si="3"/>
        <v>0.34761880350643382</v>
      </c>
      <c r="L88"/>
    </row>
    <row r="89" spans="1:12" x14ac:dyDescent="0.3">
      <c r="A89" s="16" t="s">
        <v>18</v>
      </c>
      <c r="B89" s="16">
        <v>6</v>
      </c>
      <c r="C89">
        <v>7</v>
      </c>
      <c r="D89" s="18" t="s">
        <v>105</v>
      </c>
      <c r="E89" s="22" t="s">
        <v>258</v>
      </c>
      <c r="F89">
        <v>10.329000000000001</v>
      </c>
      <c r="G89" s="23">
        <v>5.4269999999999996</v>
      </c>
      <c r="H89" s="23">
        <v>10.079000000000001</v>
      </c>
      <c r="I89" s="20">
        <f t="shared" si="2"/>
        <v>15.506</v>
      </c>
      <c r="J89" s="41">
        <f t="shared" si="3"/>
        <v>0.3499935508835289</v>
      </c>
      <c r="L89"/>
    </row>
    <row r="90" spans="1:12" x14ac:dyDescent="0.3">
      <c r="A90" s="16" t="s">
        <v>23</v>
      </c>
      <c r="B90" s="16">
        <v>4</v>
      </c>
      <c r="C90">
        <v>16</v>
      </c>
      <c r="D90" s="22" t="s">
        <v>106</v>
      </c>
      <c r="E90" s="22" t="s">
        <v>261</v>
      </c>
      <c r="F90">
        <v>781.93600000000004</v>
      </c>
      <c r="G90" s="23">
        <v>9.2990000000000919</v>
      </c>
      <c r="H90" s="23">
        <v>17.213999999999942</v>
      </c>
      <c r="I90" s="20">
        <f t="shared" si="2"/>
        <v>26.513000000000034</v>
      </c>
      <c r="J90" s="41">
        <f t="shared" si="3"/>
        <v>0.3507336023837393</v>
      </c>
      <c r="L90"/>
    </row>
    <row r="91" spans="1:12" x14ac:dyDescent="0.3">
      <c r="A91" s="16" t="s">
        <v>14</v>
      </c>
      <c r="B91" s="16">
        <v>9</v>
      </c>
      <c r="C91">
        <v>12</v>
      </c>
      <c r="D91" s="18" t="s">
        <v>107</v>
      </c>
      <c r="E91" s="18" t="s">
        <v>264</v>
      </c>
      <c r="F91">
        <v>355.33600000000001</v>
      </c>
      <c r="G91" s="23">
        <v>21.08099999999996</v>
      </c>
      <c r="H91" s="23">
        <v>38.946000000000026</v>
      </c>
      <c r="I91" s="20">
        <f t="shared" si="2"/>
        <v>60.026999999999987</v>
      </c>
      <c r="J91" s="41">
        <f t="shared" si="3"/>
        <v>0.35119196361637206</v>
      </c>
      <c r="L91"/>
    </row>
    <row r="92" spans="1:12" x14ac:dyDescent="0.3">
      <c r="A92" s="16" t="s">
        <v>14</v>
      </c>
      <c r="B92" s="16">
        <v>14</v>
      </c>
      <c r="C92">
        <v>4</v>
      </c>
      <c r="D92" s="22" t="s">
        <v>108</v>
      </c>
      <c r="E92" s="22" t="s">
        <v>259</v>
      </c>
      <c r="F92" s="22">
        <v>1301.0709999999999</v>
      </c>
      <c r="G92" s="25">
        <v>7.5190000000000055</v>
      </c>
      <c r="H92" s="25">
        <v>13.490999999999985</v>
      </c>
      <c r="I92" s="20">
        <f t="shared" si="2"/>
        <v>21.009999999999991</v>
      </c>
      <c r="J92" s="41">
        <f t="shared" si="3"/>
        <v>0.35787720133269912</v>
      </c>
      <c r="L92"/>
    </row>
    <row r="93" spans="1:12" x14ac:dyDescent="0.3">
      <c r="A93" s="16" t="s">
        <v>23</v>
      </c>
      <c r="B93" s="16">
        <v>4</v>
      </c>
      <c r="C93">
        <v>10</v>
      </c>
      <c r="D93" s="22" t="s">
        <v>109</v>
      </c>
      <c r="E93" s="22" t="s">
        <v>258</v>
      </c>
      <c r="F93">
        <v>599.71299999999997</v>
      </c>
      <c r="G93" s="26">
        <v>12.551000000000045</v>
      </c>
      <c r="H93" s="26">
        <v>22.449999999999932</v>
      </c>
      <c r="I93" s="20">
        <f t="shared" si="2"/>
        <v>35.000999999999976</v>
      </c>
      <c r="J93" s="41">
        <f t="shared" si="3"/>
        <v>0.35858975457844211</v>
      </c>
      <c r="L93"/>
    </row>
    <row r="94" spans="1:12" x14ac:dyDescent="0.3">
      <c r="A94" s="16" t="s">
        <v>12</v>
      </c>
      <c r="B94" s="16">
        <v>9</v>
      </c>
      <c r="C94">
        <v>16</v>
      </c>
      <c r="D94" s="22" t="s">
        <v>110</v>
      </c>
      <c r="E94" s="22" t="s">
        <v>263</v>
      </c>
      <c r="F94">
        <v>207.80500000000001</v>
      </c>
      <c r="G94" s="23">
        <v>4.0509999999999877</v>
      </c>
      <c r="H94" s="23">
        <v>6.9550000000000125</v>
      </c>
      <c r="I94" s="20">
        <f t="shared" si="2"/>
        <v>11.006</v>
      </c>
      <c r="J94" s="41">
        <f t="shared" si="3"/>
        <v>0.36807196074868143</v>
      </c>
      <c r="L94"/>
    </row>
    <row r="95" spans="1:12" x14ac:dyDescent="0.3">
      <c r="A95" s="24" t="s">
        <v>12</v>
      </c>
      <c r="B95" s="24">
        <v>14</v>
      </c>
      <c r="C95" s="17">
        <v>5</v>
      </c>
      <c r="D95" s="18" t="s">
        <v>111</v>
      </c>
      <c r="E95" s="22" t="s">
        <v>257</v>
      </c>
      <c r="F95" s="17">
        <v>84.338999999999999</v>
      </c>
      <c r="G95" s="43">
        <v>9.9480000000000075</v>
      </c>
      <c r="H95" s="43">
        <v>17.063000000000002</v>
      </c>
      <c r="I95" s="28">
        <f t="shared" si="2"/>
        <v>27.01100000000001</v>
      </c>
      <c r="J95" s="42">
        <f t="shared" si="3"/>
        <v>0.36829439857835711</v>
      </c>
      <c r="L95"/>
    </row>
    <row r="96" spans="1:12" x14ac:dyDescent="0.3">
      <c r="A96" s="16" t="s">
        <v>14</v>
      </c>
      <c r="B96" s="16">
        <v>4</v>
      </c>
      <c r="C96">
        <v>4</v>
      </c>
      <c r="D96" s="22" t="s">
        <v>112</v>
      </c>
      <c r="E96" s="22" t="s">
        <v>258</v>
      </c>
      <c r="F96" s="22">
        <v>255.059</v>
      </c>
      <c r="G96" s="25">
        <v>14.246999999999986</v>
      </c>
      <c r="H96" s="25">
        <v>24.262000000000029</v>
      </c>
      <c r="I96" s="20">
        <f t="shared" si="2"/>
        <v>38.509000000000015</v>
      </c>
      <c r="J96" s="41">
        <f t="shared" si="3"/>
        <v>0.36996546261912749</v>
      </c>
      <c r="L96"/>
    </row>
    <row r="97" spans="1:12" x14ac:dyDescent="0.3">
      <c r="A97" s="16" t="s">
        <v>21</v>
      </c>
      <c r="B97" s="16">
        <v>8</v>
      </c>
      <c r="C97">
        <v>13</v>
      </c>
      <c r="D97" s="18" t="s">
        <v>113</v>
      </c>
      <c r="E97" s="22" t="s">
        <v>266</v>
      </c>
      <c r="F97">
        <v>129.179</v>
      </c>
      <c r="G97" s="23">
        <v>7.0889999999999986</v>
      </c>
      <c r="H97" s="23">
        <v>11.914000000000001</v>
      </c>
      <c r="I97" s="20">
        <f t="shared" si="2"/>
        <v>19.003</v>
      </c>
      <c r="J97" s="41">
        <f t="shared" si="3"/>
        <v>0.37304636110087874</v>
      </c>
      <c r="L97"/>
    </row>
    <row r="98" spans="1:12" x14ac:dyDescent="0.3">
      <c r="A98" s="16" t="s">
        <v>18</v>
      </c>
      <c r="B98" s="16">
        <v>4</v>
      </c>
      <c r="C98">
        <v>7</v>
      </c>
      <c r="D98" s="18" t="s">
        <v>114</v>
      </c>
      <c r="E98" s="22" t="s">
        <v>261</v>
      </c>
      <c r="F98">
        <v>591.49099999999999</v>
      </c>
      <c r="G98" s="23">
        <v>12.991999999999962</v>
      </c>
      <c r="H98" s="23">
        <v>21.523000000000025</v>
      </c>
      <c r="I98" s="20">
        <f t="shared" si="2"/>
        <v>34.514999999999986</v>
      </c>
      <c r="J98" s="41">
        <f t="shared" si="3"/>
        <v>0.37641605099232123</v>
      </c>
      <c r="L98"/>
    </row>
    <row r="99" spans="1:12" x14ac:dyDescent="0.3">
      <c r="A99" s="16" t="s">
        <v>21</v>
      </c>
      <c r="B99" s="16">
        <v>9</v>
      </c>
      <c r="C99">
        <v>4</v>
      </c>
      <c r="D99" s="18" t="s">
        <v>115</v>
      </c>
      <c r="E99" s="22" t="s">
        <v>258</v>
      </c>
      <c r="F99" s="22">
        <v>486.02800000000002</v>
      </c>
      <c r="G99" s="25">
        <v>4.3479999999999599</v>
      </c>
      <c r="H99" s="25">
        <v>7.1550000000000296</v>
      </c>
      <c r="I99" s="20">
        <f t="shared" si="2"/>
        <v>11.502999999999989</v>
      </c>
      <c r="J99" s="41">
        <f t="shared" si="3"/>
        <v>0.37798835086498861</v>
      </c>
      <c r="L99"/>
    </row>
    <row r="100" spans="1:12" x14ac:dyDescent="0.3">
      <c r="A100" s="16" t="s">
        <v>14</v>
      </c>
      <c r="B100" s="16">
        <v>5</v>
      </c>
      <c r="C100">
        <v>4</v>
      </c>
      <c r="D100" s="22" t="s">
        <v>116</v>
      </c>
      <c r="E100" s="22" t="s">
        <v>259</v>
      </c>
      <c r="F100" s="22">
        <v>1374.405</v>
      </c>
      <c r="G100" s="25">
        <v>5.7049999999999272</v>
      </c>
      <c r="H100" s="25">
        <v>9.3050000000000637</v>
      </c>
      <c r="I100" s="20">
        <f t="shared" ref="I100:I131" si="4">SUM(G100:H100)</f>
        <v>15.009999999999991</v>
      </c>
      <c r="J100" s="41">
        <f t="shared" si="3"/>
        <v>0.38007994670219392</v>
      </c>
      <c r="L100"/>
    </row>
    <row r="101" spans="1:12" x14ac:dyDescent="0.3">
      <c r="A101" s="16" t="s">
        <v>21</v>
      </c>
      <c r="B101" s="16">
        <v>11</v>
      </c>
      <c r="C101">
        <v>14</v>
      </c>
      <c r="D101" s="18" t="s">
        <v>117</v>
      </c>
      <c r="E101" s="22" t="s">
        <v>261</v>
      </c>
      <c r="F101">
        <v>176.25399999999999</v>
      </c>
      <c r="G101" s="23">
        <v>4.0300000000000011</v>
      </c>
      <c r="H101" s="23">
        <v>6.47199999999998</v>
      </c>
      <c r="I101" s="20">
        <f t="shared" si="4"/>
        <v>10.501999999999981</v>
      </c>
      <c r="J101" s="41">
        <f t="shared" si="3"/>
        <v>0.38373643115597111</v>
      </c>
      <c r="L101"/>
    </row>
    <row r="102" spans="1:12" x14ac:dyDescent="0.3">
      <c r="A102" s="24" t="s">
        <v>12</v>
      </c>
      <c r="B102" s="24">
        <v>9</v>
      </c>
      <c r="C102" s="17">
        <v>16</v>
      </c>
      <c r="D102" s="18" t="s">
        <v>118</v>
      </c>
      <c r="E102" s="18" t="s">
        <v>259</v>
      </c>
      <c r="F102" s="17">
        <v>680.50400000000002</v>
      </c>
      <c r="G102" s="19">
        <v>10.591999999999985</v>
      </c>
      <c r="H102" s="19">
        <v>16.922000000000025</v>
      </c>
      <c r="I102" s="28">
        <f t="shared" si="4"/>
        <v>27.51400000000001</v>
      </c>
      <c r="J102" s="42">
        <f t="shared" si="3"/>
        <v>0.3849676528312852</v>
      </c>
      <c r="L102"/>
    </row>
    <row r="103" spans="1:12" x14ac:dyDescent="0.3">
      <c r="A103" s="16" t="s">
        <v>18</v>
      </c>
      <c r="B103" s="16">
        <v>12</v>
      </c>
      <c r="C103">
        <v>7</v>
      </c>
      <c r="D103" s="18" t="s">
        <v>119</v>
      </c>
      <c r="E103" s="22" t="s">
        <v>261</v>
      </c>
      <c r="F103">
        <v>1076.28</v>
      </c>
      <c r="G103" s="23">
        <v>5.4410000000000309</v>
      </c>
      <c r="H103" s="23">
        <v>8.56899999999996</v>
      </c>
      <c r="I103" s="20">
        <f t="shared" si="4"/>
        <v>14.009999999999991</v>
      </c>
      <c r="J103" s="41">
        <f t="shared" si="3"/>
        <v>0.38836545324768268</v>
      </c>
      <c r="L103"/>
    </row>
    <row r="104" spans="1:12" x14ac:dyDescent="0.3">
      <c r="A104" s="16" t="s">
        <v>12</v>
      </c>
      <c r="B104" s="16">
        <v>8</v>
      </c>
      <c r="C104">
        <v>12</v>
      </c>
      <c r="D104" s="18" t="s">
        <v>120</v>
      </c>
      <c r="E104" s="22" t="s">
        <v>261</v>
      </c>
      <c r="F104">
        <v>1010.24</v>
      </c>
      <c r="G104" s="23">
        <v>3.5419999999999163</v>
      </c>
      <c r="H104" s="23">
        <v>5.4580000000000837</v>
      </c>
      <c r="I104" s="20">
        <f t="shared" si="4"/>
        <v>9</v>
      </c>
      <c r="J104" s="41">
        <f t="shared" si="3"/>
        <v>0.39355555555554628</v>
      </c>
      <c r="L104"/>
    </row>
    <row r="105" spans="1:12" x14ac:dyDescent="0.3">
      <c r="A105" s="16" t="s">
        <v>14</v>
      </c>
      <c r="B105" s="16">
        <v>4</v>
      </c>
      <c r="C105">
        <v>13</v>
      </c>
      <c r="D105" s="18" t="s">
        <v>121</v>
      </c>
      <c r="E105" s="18" t="s">
        <v>258</v>
      </c>
      <c r="F105">
        <v>83.475999999999999</v>
      </c>
      <c r="G105" s="23">
        <v>9.2860000000000014</v>
      </c>
      <c r="H105" s="23">
        <v>14.216999999999999</v>
      </c>
      <c r="I105" s="20">
        <f t="shared" si="4"/>
        <v>23.503</v>
      </c>
      <c r="J105" s="41">
        <f t="shared" si="3"/>
        <v>0.39509849806407699</v>
      </c>
      <c r="L105"/>
    </row>
    <row r="106" spans="1:12" x14ac:dyDescent="0.3">
      <c r="A106" s="16" t="s">
        <v>18</v>
      </c>
      <c r="B106" s="16">
        <v>10</v>
      </c>
      <c r="C106">
        <v>12</v>
      </c>
      <c r="D106" s="18" t="s">
        <v>122</v>
      </c>
      <c r="E106" s="22" t="s">
        <v>259</v>
      </c>
      <c r="F106">
        <v>352.29399999999998</v>
      </c>
      <c r="G106" s="23">
        <v>24.12299999999999</v>
      </c>
      <c r="H106" s="23">
        <v>35.903999999999996</v>
      </c>
      <c r="I106" s="20">
        <f t="shared" si="4"/>
        <v>60.026999999999987</v>
      </c>
      <c r="J106" s="44">
        <f t="shared" si="3"/>
        <v>0.40186915887850461</v>
      </c>
      <c r="L106"/>
    </row>
    <row r="107" spans="1:12" x14ac:dyDescent="0.3">
      <c r="A107" s="16" t="s">
        <v>23</v>
      </c>
      <c r="B107" s="16">
        <v>9</v>
      </c>
      <c r="C107">
        <v>13</v>
      </c>
      <c r="D107" s="22" t="s">
        <v>123</v>
      </c>
      <c r="E107" s="22" t="s">
        <v>263</v>
      </c>
      <c r="F107">
        <v>494.06400000000002</v>
      </c>
      <c r="G107" s="23">
        <v>10.253999999999962</v>
      </c>
      <c r="H107" s="23">
        <v>15.249000000000024</v>
      </c>
      <c r="I107" s="20">
        <f t="shared" si="4"/>
        <v>25.502999999999986</v>
      </c>
      <c r="J107" s="44">
        <f t="shared" si="3"/>
        <v>0.40207034466533226</v>
      </c>
      <c r="L107"/>
    </row>
    <row r="108" spans="1:12" x14ac:dyDescent="0.3">
      <c r="A108" s="16" t="s">
        <v>23</v>
      </c>
      <c r="B108" s="16">
        <v>7</v>
      </c>
      <c r="C108">
        <v>11</v>
      </c>
      <c r="D108" s="22" t="s">
        <v>124</v>
      </c>
      <c r="E108" s="22" t="s">
        <v>261</v>
      </c>
      <c r="F108">
        <v>65.103999999999999</v>
      </c>
      <c r="G108" s="23">
        <v>8.8260000000000005</v>
      </c>
      <c r="H108" s="23">
        <v>12.685000000000002</v>
      </c>
      <c r="I108" s="20">
        <f t="shared" si="4"/>
        <v>21.511000000000003</v>
      </c>
      <c r="J108" s="44">
        <f t="shared" si="3"/>
        <v>0.4103017061038538</v>
      </c>
      <c r="L108"/>
    </row>
    <row r="109" spans="1:12" x14ac:dyDescent="0.3">
      <c r="A109" s="16" t="s">
        <v>14</v>
      </c>
      <c r="B109" s="16">
        <v>4</v>
      </c>
      <c r="C109">
        <v>4</v>
      </c>
      <c r="D109" s="22" t="s">
        <v>125</v>
      </c>
      <c r="E109" s="22" t="s">
        <v>261</v>
      </c>
      <c r="F109" s="22">
        <v>572.98</v>
      </c>
      <c r="G109" s="25">
        <v>18.587999999999965</v>
      </c>
      <c r="H109" s="25">
        <v>26.423999999999978</v>
      </c>
      <c r="I109" s="20">
        <f t="shared" si="4"/>
        <v>45.011999999999944</v>
      </c>
      <c r="J109" s="44">
        <f t="shared" si="3"/>
        <v>0.41295654492135403</v>
      </c>
      <c r="L109"/>
    </row>
    <row r="110" spans="1:12" x14ac:dyDescent="0.3">
      <c r="A110" s="16" t="s">
        <v>18</v>
      </c>
      <c r="B110" s="16">
        <v>10</v>
      </c>
      <c r="C110">
        <v>13</v>
      </c>
      <c r="D110" s="18" t="s">
        <v>126</v>
      </c>
      <c r="E110" s="22" t="s">
        <v>259</v>
      </c>
      <c r="F110">
        <v>173.524</v>
      </c>
      <c r="G110" s="23">
        <v>7.25</v>
      </c>
      <c r="H110" s="23">
        <v>10.25200000000001</v>
      </c>
      <c r="I110" s="20">
        <f t="shared" si="4"/>
        <v>17.50200000000001</v>
      </c>
      <c r="J110" s="44">
        <f t="shared" si="3"/>
        <v>0.41423837275739894</v>
      </c>
      <c r="L110"/>
    </row>
    <row r="111" spans="1:12" x14ac:dyDescent="0.3">
      <c r="A111" s="16" t="s">
        <v>31</v>
      </c>
      <c r="B111" s="16">
        <v>15</v>
      </c>
      <c r="C111">
        <v>6</v>
      </c>
      <c r="D111" s="18" t="s">
        <v>127</v>
      </c>
      <c r="E111" s="22" t="s">
        <v>258</v>
      </c>
      <c r="F111">
        <v>14.785</v>
      </c>
      <c r="G111" s="23">
        <v>7.4969999999999999</v>
      </c>
      <c r="H111" s="23">
        <v>10.529</v>
      </c>
      <c r="I111" s="20">
        <f t="shared" si="4"/>
        <v>18.026</v>
      </c>
      <c r="J111" s="44">
        <f t="shared" si="3"/>
        <v>0.41589925662931321</v>
      </c>
      <c r="L111"/>
    </row>
    <row r="112" spans="1:12" x14ac:dyDescent="0.3">
      <c r="A112" s="16" t="s">
        <v>23</v>
      </c>
      <c r="B112" s="16">
        <v>11</v>
      </c>
      <c r="C112">
        <v>16</v>
      </c>
      <c r="D112" s="22" t="s">
        <v>128</v>
      </c>
      <c r="E112" s="22" t="s">
        <v>258</v>
      </c>
      <c r="F112">
        <v>621.44399999999996</v>
      </c>
      <c r="G112" s="23">
        <v>11.123000000000047</v>
      </c>
      <c r="H112" s="23">
        <v>15.389999999999986</v>
      </c>
      <c r="I112" s="20">
        <f t="shared" si="4"/>
        <v>26.513000000000034</v>
      </c>
      <c r="J112" s="44">
        <f t="shared" si="3"/>
        <v>0.41953004186625553</v>
      </c>
      <c r="L112"/>
    </row>
    <row r="113" spans="1:12" x14ac:dyDescent="0.3">
      <c r="A113" s="16" t="s">
        <v>59</v>
      </c>
      <c r="B113" s="16">
        <v>7</v>
      </c>
      <c r="C113">
        <v>13</v>
      </c>
      <c r="D113" s="18" t="s">
        <v>129</v>
      </c>
      <c r="E113" s="66" t="s">
        <v>259</v>
      </c>
      <c r="F113">
        <v>282.15199999999999</v>
      </c>
      <c r="G113" s="23">
        <v>7.1370000000000005</v>
      </c>
      <c r="H113" s="23">
        <v>9.8650000000000091</v>
      </c>
      <c r="I113" s="20">
        <f t="shared" si="4"/>
        <v>17.00200000000001</v>
      </c>
      <c r="J113" s="44">
        <f t="shared" si="3"/>
        <v>0.41977414421832704</v>
      </c>
      <c r="L113"/>
    </row>
    <row r="114" spans="1:12" x14ac:dyDescent="0.3">
      <c r="A114" s="16" t="s">
        <v>21</v>
      </c>
      <c r="B114" s="16">
        <v>12</v>
      </c>
      <c r="C114">
        <v>4</v>
      </c>
      <c r="D114" s="18" t="s">
        <v>130</v>
      </c>
      <c r="E114" s="22" t="s">
        <v>262</v>
      </c>
      <c r="F114" s="22">
        <v>138.965</v>
      </c>
      <c r="G114" s="25">
        <v>14.683000000000007</v>
      </c>
      <c r="H114" s="25">
        <v>19.824999999999989</v>
      </c>
      <c r="I114" s="20">
        <f t="shared" si="4"/>
        <v>34.507999999999996</v>
      </c>
      <c r="J114" s="44">
        <f t="shared" si="3"/>
        <v>0.42549553726672101</v>
      </c>
      <c r="L114"/>
    </row>
    <row r="115" spans="1:12" x14ac:dyDescent="0.3">
      <c r="A115" s="24" t="s">
        <v>16</v>
      </c>
      <c r="B115" s="24">
        <v>6</v>
      </c>
      <c r="C115">
        <v>16</v>
      </c>
      <c r="D115" s="22" t="s">
        <v>131</v>
      </c>
      <c r="E115" s="22" t="s">
        <v>259</v>
      </c>
      <c r="F115">
        <v>40.338000000000001</v>
      </c>
      <c r="G115" s="23">
        <v>1.0690000000000026</v>
      </c>
      <c r="H115" s="23">
        <v>1.4320000000000022</v>
      </c>
      <c r="I115" s="20">
        <f t="shared" si="4"/>
        <v>2.5010000000000048</v>
      </c>
      <c r="J115" s="44">
        <f t="shared" si="3"/>
        <v>0.42742902838864477</v>
      </c>
      <c r="L115"/>
    </row>
    <row r="116" spans="1:12" x14ac:dyDescent="0.3">
      <c r="A116" s="16" t="s">
        <v>12</v>
      </c>
      <c r="B116" s="16">
        <v>11</v>
      </c>
      <c r="C116">
        <v>7</v>
      </c>
      <c r="D116" s="18" t="s">
        <v>132</v>
      </c>
      <c r="E116" s="22" t="s">
        <v>265</v>
      </c>
      <c r="F116">
        <v>912.99300000000005</v>
      </c>
      <c r="G116" s="23">
        <v>21.860000000000014</v>
      </c>
      <c r="H116" s="23">
        <v>28.161999999999921</v>
      </c>
      <c r="I116" s="20">
        <f t="shared" si="4"/>
        <v>50.021999999999935</v>
      </c>
      <c r="J116" s="44">
        <f t="shared" si="3"/>
        <v>0.43700771660469478</v>
      </c>
      <c r="L116"/>
    </row>
    <row r="117" spans="1:12" x14ac:dyDescent="0.3">
      <c r="A117" s="16" t="s">
        <v>18</v>
      </c>
      <c r="B117" s="16">
        <v>6</v>
      </c>
      <c r="C117">
        <v>11</v>
      </c>
      <c r="D117" s="18" t="s">
        <v>133</v>
      </c>
      <c r="E117" s="22" t="s">
        <v>258</v>
      </c>
      <c r="F117">
        <v>543.99099999999999</v>
      </c>
      <c r="G117" s="23">
        <v>10.971000000000004</v>
      </c>
      <c r="H117" s="23">
        <v>14.04200000000003</v>
      </c>
      <c r="I117" s="20">
        <f t="shared" si="4"/>
        <v>25.013000000000034</v>
      </c>
      <c r="J117" s="44">
        <f t="shared" si="3"/>
        <v>0.43861192180066322</v>
      </c>
      <c r="L117"/>
    </row>
    <row r="118" spans="1:12" x14ac:dyDescent="0.3">
      <c r="A118" s="16" t="s">
        <v>59</v>
      </c>
      <c r="B118" s="16">
        <v>8</v>
      </c>
      <c r="C118">
        <v>4</v>
      </c>
      <c r="D118" s="18" t="s">
        <v>134</v>
      </c>
      <c r="E118" s="66" t="s">
        <v>257</v>
      </c>
      <c r="F118" s="22">
        <v>1072.1089999999999</v>
      </c>
      <c r="G118" s="25">
        <v>11.088999999999942</v>
      </c>
      <c r="H118" s="25">
        <v>13.921000000000049</v>
      </c>
      <c r="I118" s="20">
        <f t="shared" si="4"/>
        <v>25.009999999999991</v>
      </c>
      <c r="J118" s="44">
        <f t="shared" si="3"/>
        <v>0.44338264694122137</v>
      </c>
      <c r="L118"/>
    </row>
    <row r="119" spans="1:12" x14ac:dyDescent="0.3">
      <c r="A119" s="16" t="s">
        <v>59</v>
      </c>
      <c r="B119" s="16">
        <v>7</v>
      </c>
      <c r="C119">
        <v>10</v>
      </c>
      <c r="D119" s="18" t="s">
        <v>135</v>
      </c>
      <c r="E119" s="66" t="s">
        <v>259</v>
      </c>
      <c r="F119">
        <v>54.555999999999997</v>
      </c>
      <c r="G119" s="26">
        <v>13.195000000000007</v>
      </c>
      <c r="H119" s="26">
        <v>16.305999999999997</v>
      </c>
      <c r="I119" s="20">
        <f t="shared" si="4"/>
        <v>29.501000000000005</v>
      </c>
      <c r="J119" s="44">
        <f t="shared" si="3"/>
        <v>0.44727297379749859</v>
      </c>
      <c r="L119"/>
    </row>
    <row r="120" spans="1:12" x14ac:dyDescent="0.3">
      <c r="A120" s="16" t="s">
        <v>21</v>
      </c>
      <c r="B120" s="16">
        <v>9</v>
      </c>
      <c r="C120">
        <v>16</v>
      </c>
      <c r="D120" s="22" t="s">
        <v>136</v>
      </c>
      <c r="E120" s="22" t="s">
        <v>258</v>
      </c>
      <c r="F120">
        <v>371.22399999999999</v>
      </c>
      <c r="G120" s="23">
        <v>13.218000000000018</v>
      </c>
      <c r="H120" s="23">
        <v>16.295999999999992</v>
      </c>
      <c r="I120" s="20">
        <f t="shared" si="4"/>
        <v>29.51400000000001</v>
      </c>
      <c r="J120" s="44">
        <f t="shared" si="3"/>
        <v>0.4478552551331576</v>
      </c>
      <c r="L120"/>
    </row>
    <row r="121" spans="1:12" x14ac:dyDescent="0.3">
      <c r="A121" s="16" t="s">
        <v>14</v>
      </c>
      <c r="B121" s="16">
        <v>4</v>
      </c>
      <c r="C121">
        <v>7</v>
      </c>
      <c r="D121" s="22" t="s">
        <v>137</v>
      </c>
      <c r="E121" s="22" t="s">
        <v>258</v>
      </c>
      <c r="F121">
        <v>913.654</v>
      </c>
      <c r="G121" s="23">
        <v>22.520999999999958</v>
      </c>
      <c r="H121" s="23">
        <v>27.500999999999976</v>
      </c>
      <c r="I121" s="20">
        <f t="shared" si="4"/>
        <v>50.021999999999935</v>
      </c>
      <c r="J121" s="44">
        <f t="shared" si="3"/>
        <v>0.45022190236296006</v>
      </c>
      <c r="L121"/>
    </row>
    <row r="122" spans="1:12" x14ac:dyDescent="0.3">
      <c r="A122" s="16" t="s">
        <v>12</v>
      </c>
      <c r="B122" s="16">
        <v>12</v>
      </c>
      <c r="C122">
        <v>5</v>
      </c>
      <c r="D122" s="18" t="s">
        <v>138</v>
      </c>
      <c r="E122" s="22" t="s">
        <v>258</v>
      </c>
      <c r="F122">
        <v>310.23200000000003</v>
      </c>
      <c r="G122" s="31">
        <v>5.6419999999999959</v>
      </c>
      <c r="H122" s="31">
        <v>6.8620000000000232</v>
      </c>
      <c r="I122" s="20">
        <f t="shared" si="4"/>
        <v>12.504000000000019</v>
      </c>
      <c r="J122" s="44">
        <f t="shared" si="3"/>
        <v>0.45121561100447755</v>
      </c>
      <c r="L122"/>
    </row>
    <row r="123" spans="1:12" x14ac:dyDescent="0.3">
      <c r="A123" s="16" t="s">
        <v>31</v>
      </c>
      <c r="B123" s="16">
        <v>15</v>
      </c>
      <c r="C123">
        <v>14</v>
      </c>
      <c r="D123" s="22" t="s">
        <v>139</v>
      </c>
      <c r="E123" s="22" t="s">
        <v>259</v>
      </c>
      <c r="F123">
        <v>445.91500000000002</v>
      </c>
      <c r="G123" s="23">
        <v>13.423000000000002</v>
      </c>
      <c r="H123" s="23">
        <v>16.083000000000027</v>
      </c>
      <c r="I123" s="20">
        <f t="shared" si="4"/>
        <v>29.506000000000029</v>
      </c>
      <c r="J123" s="44">
        <f t="shared" si="3"/>
        <v>0.45492442215142642</v>
      </c>
      <c r="L123"/>
    </row>
    <row r="124" spans="1:12" x14ac:dyDescent="0.3">
      <c r="A124" s="16" t="s">
        <v>31</v>
      </c>
      <c r="B124" s="16">
        <v>13</v>
      </c>
      <c r="C124">
        <v>12</v>
      </c>
      <c r="D124" s="18" t="s">
        <v>140</v>
      </c>
      <c r="E124" s="22" t="s">
        <v>258</v>
      </c>
      <c r="F124">
        <v>254.83199999999999</v>
      </c>
      <c r="G124" s="23">
        <v>13.975999999999999</v>
      </c>
      <c r="H124" s="23">
        <v>16.538000000000011</v>
      </c>
      <c r="I124" s="20">
        <f t="shared" si="4"/>
        <v>30.51400000000001</v>
      </c>
      <c r="J124" s="44">
        <f t="shared" si="3"/>
        <v>0.4580192698433504</v>
      </c>
      <c r="L124"/>
    </row>
    <row r="125" spans="1:12" x14ac:dyDescent="0.3">
      <c r="A125" s="24" t="s">
        <v>16</v>
      </c>
      <c r="B125" s="24">
        <v>6</v>
      </c>
      <c r="C125">
        <v>5</v>
      </c>
      <c r="D125" s="22" t="s">
        <v>141</v>
      </c>
      <c r="E125" s="22" t="s">
        <v>257</v>
      </c>
      <c r="F125">
        <v>549.35400000000004</v>
      </c>
      <c r="G125" s="45">
        <v>6.8899999999999864</v>
      </c>
      <c r="H125" s="45">
        <v>8.1159999999999854</v>
      </c>
      <c r="I125" s="20">
        <f t="shared" si="4"/>
        <v>15.005999999999972</v>
      </c>
      <c r="J125" s="44">
        <f t="shared" si="3"/>
        <v>0.45914967346394769</v>
      </c>
      <c r="L125"/>
    </row>
    <row r="126" spans="1:12" x14ac:dyDescent="0.3">
      <c r="A126" s="24" t="s">
        <v>16</v>
      </c>
      <c r="B126" s="24">
        <v>10</v>
      </c>
      <c r="C126">
        <v>5</v>
      </c>
      <c r="D126" s="22" t="s">
        <v>142</v>
      </c>
      <c r="E126" s="22" t="s">
        <v>259</v>
      </c>
      <c r="F126">
        <v>138.74799999999999</v>
      </c>
      <c r="G126" s="45">
        <v>9.5600000000000023</v>
      </c>
      <c r="H126" s="31">
        <v>10.947999999999993</v>
      </c>
      <c r="I126" s="20">
        <f t="shared" si="4"/>
        <v>20.507999999999996</v>
      </c>
      <c r="J126" s="44">
        <f t="shared" si="3"/>
        <v>0.46615954749366123</v>
      </c>
      <c r="L126"/>
    </row>
    <row r="127" spans="1:12" x14ac:dyDescent="0.3">
      <c r="A127" s="24" t="s">
        <v>16</v>
      </c>
      <c r="B127" s="24">
        <v>10</v>
      </c>
      <c r="C127">
        <v>8</v>
      </c>
      <c r="D127" s="22" t="s">
        <v>143</v>
      </c>
      <c r="E127" s="22" t="s">
        <v>257</v>
      </c>
      <c r="F127">
        <v>210.45</v>
      </c>
      <c r="G127" s="23">
        <v>3.9800000000000182</v>
      </c>
      <c r="H127" s="23">
        <v>4.5269999999999868</v>
      </c>
      <c r="I127" s="20">
        <f t="shared" si="4"/>
        <v>8.507000000000005</v>
      </c>
      <c r="J127" s="44">
        <f t="shared" si="3"/>
        <v>0.46785000587751452</v>
      </c>
      <c r="L127"/>
    </row>
    <row r="128" spans="1:12" x14ac:dyDescent="0.3">
      <c r="A128" s="16" t="s">
        <v>31</v>
      </c>
      <c r="B128" s="16">
        <v>11</v>
      </c>
      <c r="C128">
        <v>15</v>
      </c>
      <c r="D128" s="22" t="s">
        <v>144</v>
      </c>
      <c r="E128" s="22" t="s">
        <v>259</v>
      </c>
      <c r="F128">
        <v>835.61800000000005</v>
      </c>
      <c r="G128" s="23">
        <v>19.141999999999939</v>
      </c>
      <c r="H128" s="23">
        <v>21.359000000000037</v>
      </c>
      <c r="I128" s="20">
        <f t="shared" si="4"/>
        <v>40.500999999999976</v>
      </c>
      <c r="J128" s="44">
        <f t="shared" si="3"/>
        <v>0.4726303054245562</v>
      </c>
      <c r="L128"/>
    </row>
    <row r="129" spans="1:12" x14ac:dyDescent="0.3">
      <c r="A129" s="16" t="s">
        <v>14</v>
      </c>
      <c r="B129" s="16">
        <v>10</v>
      </c>
      <c r="C129">
        <v>14</v>
      </c>
      <c r="D129" s="18" t="s">
        <v>145</v>
      </c>
      <c r="E129" s="18" t="s">
        <v>259</v>
      </c>
      <c r="F129">
        <v>65.683000000000007</v>
      </c>
      <c r="G129" s="23">
        <v>21.082999999999998</v>
      </c>
      <c r="H129" s="23">
        <v>23.425000000000004</v>
      </c>
      <c r="I129" s="20">
        <f t="shared" si="4"/>
        <v>44.508000000000003</v>
      </c>
      <c r="J129" s="44">
        <f t="shared" si="3"/>
        <v>0.47369012312393272</v>
      </c>
      <c r="L129"/>
    </row>
    <row r="130" spans="1:12" x14ac:dyDescent="0.3">
      <c r="A130" s="16" t="s">
        <v>31</v>
      </c>
      <c r="B130" s="16">
        <v>12</v>
      </c>
      <c r="C130">
        <v>4</v>
      </c>
      <c r="D130" s="18" t="s">
        <v>146</v>
      </c>
      <c r="E130" s="22" t="s">
        <v>260</v>
      </c>
      <c r="F130" s="22">
        <v>576.03599999999994</v>
      </c>
      <c r="G130" s="25">
        <v>21.643999999999892</v>
      </c>
      <c r="H130" s="25">
        <v>23.368000000000052</v>
      </c>
      <c r="I130" s="20">
        <f t="shared" si="4"/>
        <v>45.011999999999944</v>
      </c>
      <c r="J130" s="44">
        <f t="shared" si="3"/>
        <v>0.4808495512307811</v>
      </c>
      <c r="L130"/>
    </row>
    <row r="131" spans="1:12" x14ac:dyDescent="0.3">
      <c r="A131" s="16" t="s">
        <v>31</v>
      </c>
      <c r="B131" s="16">
        <v>6</v>
      </c>
      <c r="C131">
        <v>14</v>
      </c>
      <c r="D131" s="22" t="s">
        <v>147</v>
      </c>
      <c r="E131" s="22" t="s">
        <v>258</v>
      </c>
      <c r="F131">
        <v>152.023</v>
      </c>
      <c r="G131" s="23">
        <v>6.757000000000005</v>
      </c>
      <c r="H131" s="23">
        <v>7.2460000000000093</v>
      </c>
      <c r="I131" s="20">
        <f t="shared" si="4"/>
        <v>14.003000000000014</v>
      </c>
      <c r="J131" s="44">
        <f t="shared" si="3"/>
        <v>0.48253945583089325</v>
      </c>
      <c r="L131"/>
    </row>
    <row r="132" spans="1:12" x14ac:dyDescent="0.3">
      <c r="A132" s="24" t="s">
        <v>16</v>
      </c>
      <c r="B132" s="24">
        <v>4</v>
      </c>
      <c r="C132">
        <v>15</v>
      </c>
      <c r="D132" s="22" t="s">
        <v>148</v>
      </c>
      <c r="E132" s="22" t="s">
        <v>259</v>
      </c>
      <c r="F132">
        <v>551.25099999999998</v>
      </c>
      <c r="G132" s="23">
        <v>14.504999999999995</v>
      </c>
      <c r="H132" s="23">
        <v>15.495000000000005</v>
      </c>
      <c r="I132" s="20">
        <f t="shared" ref="I132:I145" si="5">SUM(G132:H132)</f>
        <v>30</v>
      </c>
      <c r="J132" s="44">
        <f t="shared" ref="J132:J195" si="6">G132/SUM(G132:H132)</f>
        <v>0.48349999999999987</v>
      </c>
      <c r="L132"/>
    </row>
    <row r="133" spans="1:12" x14ac:dyDescent="0.3">
      <c r="A133" s="16" t="s">
        <v>18</v>
      </c>
      <c r="B133" s="16">
        <v>6</v>
      </c>
      <c r="C133">
        <v>15</v>
      </c>
      <c r="D133" s="18" t="s">
        <v>149</v>
      </c>
      <c r="E133" s="22" t="s">
        <v>257</v>
      </c>
      <c r="F133">
        <v>313.69299999999998</v>
      </c>
      <c r="G133" s="23">
        <v>5.4399999999999977</v>
      </c>
      <c r="H133" s="23">
        <v>5.5600000000000023</v>
      </c>
      <c r="I133" s="20">
        <f t="shared" si="5"/>
        <v>11</v>
      </c>
      <c r="J133" s="44">
        <f t="shared" si="6"/>
        <v>0.49454545454545434</v>
      </c>
      <c r="L133"/>
    </row>
    <row r="134" spans="1:12" x14ac:dyDescent="0.3">
      <c r="A134" s="16" t="s">
        <v>18</v>
      </c>
      <c r="B134" s="16">
        <v>3</v>
      </c>
      <c r="C134">
        <v>2</v>
      </c>
      <c r="D134" s="18" t="s">
        <v>150</v>
      </c>
      <c r="E134" s="22" t="s">
        <v>261</v>
      </c>
      <c r="F134" s="22">
        <v>490.88799999999998</v>
      </c>
      <c r="G134" s="32">
        <v>6.4419999999999504</v>
      </c>
      <c r="H134" s="32">
        <v>6.563000000000045</v>
      </c>
      <c r="I134" s="20">
        <f t="shared" si="5"/>
        <v>13.004999999999995</v>
      </c>
      <c r="J134" s="44">
        <f t="shared" si="6"/>
        <v>0.49534794309880453</v>
      </c>
      <c r="L134"/>
    </row>
    <row r="135" spans="1:12" x14ac:dyDescent="0.3">
      <c r="A135" s="16" t="s">
        <v>31</v>
      </c>
      <c r="B135" s="16">
        <v>9</v>
      </c>
      <c r="C135">
        <v>5</v>
      </c>
      <c r="D135" s="18" t="s">
        <v>151</v>
      </c>
      <c r="E135" s="22" t="s">
        <v>259</v>
      </c>
      <c r="F135">
        <v>166.46700000000001</v>
      </c>
      <c r="G135" s="31">
        <v>6.8509999999999991</v>
      </c>
      <c r="H135" s="31">
        <v>6.6540000000000248</v>
      </c>
      <c r="I135" s="20">
        <f t="shared" si="5"/>
        <v>13.505000000000024</v>
      </c>
      <c r="J135" s="46">
        <f t="shared" si="6"/>
        <v>0.50729359496482684</v>
      </c>
      <c r="L135"/>
    </row>
    <row r="136" spans="1:12" x14ac:dyDescent="0.3">
      <c r="A136" s="24" t="s">
        <v>16</v>
      </c>
      <c r="B136" s="24">
        <v>8</v>
      </c>
      <c r="C136">
        <v>15</v>
      </c>
      <c r="D136" s="22" t="s">
        <v>152</v>
      </c>
      <c r="E136" s="22" t="s">
        <v>261</v>
      </c>
      <c r="F136">
        <v>794.38099999999997</v>
      </c>
      <c r="G136" s="23">
        <v>20.621999999999957</v>
      </c>
      <c r="H136" s="23">
        <v>19.878000000000043</v>
      </c>
      <c r="I136" s="20">
        <f t="shared" si="5"/>
        <v>40.5</v>
      </c>
      <c r="J136" s="46">
        <f t="shared" si="6"/>
        <v>0.50918518518518407</v>
      </c>
      <c r="L136"/>
    </row>
    <row r="137" spans="1:12" x14ac:dyDescent="0.3">
      <c r="A137" s="16" t="s">
        <v>18</v>
      </c>
      <c r="B137" s="16">
        <v>10</v>
      </c>
      <c r="C137">
        <v>12</v>
      </c>
      <c r="D137" s="18" t="s">
        <v>153</v>
      </c>
      <c r="E137" s="22" t="s">
        <v>261</v>
      </c>
      <c r="F137">
        <v>256.43200000000002</v>
      </c>
      <c r="G137" s="23">
        <v>15.576000000000022</v>
      </c>
      <c r="H137" s="23">
        <v>14.937999999999988</v>
      </c>
      <c r="I137" s="20">
        <f t="shared" si="5"/>
        <v>30.51400000000001</v>
      </c>
      <c r="J137" s="46">
        <f t="shared" si="6"/>
        <v>0.51045421773612165</v>
      </c>
      <c r="L137"/>
    </row>
    <row r="138" spans="1:12" x14ac:dyDescent="0.3">
      <c r="A138" s="24" t="s">
        <v>16</v>
      </c>
      <c r="B138" s="24">
        <v>11</v>
      </c>
      <c r="C138">
        <v>4</v>
      </c>
      <c r="D138" s="22" t="s">
        <v>154</v>
      </c>
      <c r="E138" s="22" t="s">
        <v>261</v>
      </c>
      <c r="F138" s="18">
        <v>260.81400000000002</v>
      </c>
      <c r="G138" s="25">
        <v>20.00200000000001</v>
      </c>
      <c r="H138" s="25">
        <v>18.507000000000005</v>
      </c>
      <c r="I138" s="20">
        <f t="shared" si="5"/>
        <v>38.509000000000015</v>
      </c>
      <c r="J138" s="46">
        <f t="shared" si="6"/>
        <v>0.51941104676828798</v>
      </c>
      <c r="L138"/>
    </row>
    <row r="139" spans="1:12" x14ac:dyDescent="0.3">
      <c r="A139" s="16" t="s">
        <v>31</v>
      </c>
      <c r="B139" s="16">
        <v>11</v>
      </c>
      <c r="C139">
        <v>10</v>
      </c>
      <c r="D139" s="18" t="s">
        <v>155</v>
      </c>
      <c r="E139" s="22" t="s">
        <v>261</v>
      </c>
      <c r="F139">
        <v>248.17</v>
      </c>
      <c r="G139" s="26">
        <v>16.914999999999992</v>
      </c>
      <c r="H139" s="26">
        <v>15.585999999999984</v>
      </c>
      <c r="I139" s="20">
        <f t="shared" si="5"/>
        <v>32.500999999999976</v>
      </c>
      <c r="J139" s="46">
        <f t="shared" si="6"/>
        <v>0.5204455247530847</v>
      </c>
      <c r="L139"/>
    </row>
    <row r="140" spans="1:12" x14ac:dyDescent="0.3">
      <c r="A140" s="16" t="s">
        <v>12</v>
      </c>
      <c r="B140" s="16">
        <v>3</v>
      </c>
      <c r="C140">
        <v>8</v>
      </c>
      <c r="D140" s="18" t="s">
        <v>156</v>
      </c>
      <c r="E140" s="22" t="s">
        <v>262</v>
      </c>
      <c r="F140">
        <v>378.20499999999998</v>
      </c>
      <c r="G140" s="23">
        <v>6.8690000000000282</v>
      </c>
      <c r="H140" s="23">
        <v>6.1419999999999959</v>
      </c>
      <c r="I140" s="20">
        <f t="shared" si="5"/>
        <v>13.011000000000024</v>
      </c>
      <c r="J140" s="46">
        <f t="shared" si="6"/>
        <v>0.52793789870110031</v>
      </c>
      <c r="L140"/>
    </row>
    <row r="141" spans="1:12" x14ac:dyDescent="0.3">
      <c r="A141" s="16" t="s">
        <v>31</v>
      </c>
      <c r="B141" s="16">
        <v>15</v>
      </c>
      <c r="C141">
        <v>10</v>
      </c>
      <c r="D141" s="18" t="s">
        <v>157</v>
      </c>
      <c r="E141" s="22" t="s">
        <v>262</v>
      </c>
      <c r="F141">
        <v>434.55099999999999</v>
      </c>
      <c r="G141" s="26">
        <v>14.290999999999997</v>
      </c>
      <c r="H141" s="26">
        <v>12.209000000000003</v>
      </c>
      <c r="I141" s="20">
        <f t="shared" si="5"/>
        <v>26.5</v>
      </c>
      <c r="J141" s="46">
        <f t="shared" si="6"/>
        <v>0.5392830188679244</v>
      </c>
      <c r="L141"/>
    </row>
    <row r="142" spans="1:12" x14ac:dyDescent="0.3">
      <c r="A142" s="16" t="s">
        <v>21</v>
      </c>
      <c r="B142" s="16">
        <v>13</v>
      </c>
      <c r="C142">
        <v>12</v>
      </c>
      <c r="D142" s="18" t="s">
        <v>158</v>
      </c>
      <c r="E142" s="22" t="s">
        <v>261</v>
      </c>
      <c r="F142">
        <v>233.03</v>
      </c>
      <c r="G142" s="23">
        <v>5.6800000000000068</v>
      </c>
      <c r="H142" s="23">
        <v>4.8249999999999886</v>
      </c>
      <c r="I142" s="20">
        <f t="shared" si="5"/>
        <v>10.504999999999995</v>
      </c>
      <c r="J142" s="46">
        <f t="shared" si="6"/>
        <v>0.54069490718705471</v>
      </c>
      <c r="L142"/>
    </row>
    <row r="143" spans="1:12" x14ac:dyDescent="0.3">
      <c r="A143" s="16" t="s">
        <v>14</v>
      </c>
      <c r="B143" s="16">
        <v>5</v>
      </c>
      <c r="C143">
        <v>11</v>
      </c>
      <c r="D143" s="18" t="s">
        <v>159</v>
      </c>
      <c r="E143" s="22" t="s">
        <v>259</v>
      </c>
      <c r="F143">
        <v>409.35</v>
      </c>
      <c r="G143" s="23">
        <v>10.113</v>
      </c>
      <c r="H143" s="23">
        <v>8.3970000000000482</v>
      </c>
      <c r="I143" s="20">
        <f t="shared" si="5"/>
        <v>18.510000000000048</v>
      </c>
      <c r="J143" s="46">
        <f t="shared" si="6"/>
        <v>0.54635332252836166</v>
      </c>
      <c r="L143"/>
    </row>
    <row r="144" spans="1:12" x14ac:dyDescent="0.3">
      <c r="A144" s="16" t="s">
        <v>59</v>
      </c>
      <c r="B144" s="16">
        <v>10</v>
      </c>
      <c r="C144">
        <v>7</v>
      </c>
      <c r="D144" s="18" t="s">
        <v>160</v>
      </c>
      <c r="E144" s="66" t="s">
        <v>259</v>
      </c>
      <c r="F144">
        <v>542.75900000000001</v>
      </c>
      <c r="G144" s="23">
        <v>2.7770000000000437</v>
      </c>
      <c r="H144" s="23">
        <v>2.2250000000000227</v>
      </c>
      <c r="I144" s="20">
        <f t="shared" si="5"/>
        <v>5.0020000000000664</v>
      </c>
      <c r="J144" s="46">
        <f t="shared" si="6"/>
        <v>0.55517792882846995</v>
      </c>
      <c r="L144"/>
    </row>
    <row r="145" spans="1:12" x14ac:dyDescent="0.3">
      <c r="A145" s="16" t="s">
        <v>31</v>
      </c>
      <c r="B145" s="16">
        <v>10</v>
      </c>
      <c r="C145">
        <v>4</v>
      </c>
      <c r="D145" s="18" t="s">
        <v>161</v>
      </c>
      <c r="E145" s="22" t="s">
        <v>259</v>
      </c>
      <c r="F145" s="18">
        <v>1501.396</v>
      </c>
      <c r="G145" s="25">
        <v>12.265999999999849</v>
      </c>
      <c r="H145" s="25">
        <v>9.7440000000001419</v>
      </c>
      <c r="I145" s="20">
        <f t="shared" si="5"/>
        <v>22.009999999999991</v>
      </c>
      <c r="J145" s="46">
        <f t="shared" si="6"/>
        <v>0.55729213993638593</v>
      </c>
      <c r="L145"/>
    </row>
    <row r="146" spans="1:12" x14ac:dyDescent="0.3">
      <c r="A146" s="16" t="s">
        <v>31</v>
      </c>
      <c r="B146" s="16">
        <v>4</v>
      </c>
      <c r="C146">
        <v>2</v>
      </c>
      <c r="D146" s="18" t="s">
        <v>162</v>
      </c>
      <c r="E146" s="22" t="s">
        <v>258</v>
      </c>
      <c r="F146" s="18">
        <v>275.75700000000001</v>
      </c>
      <c r="G146" s="47">
        <v>29.408000000000015</v>
      </c>
      <c r="H146" s="25">
        <v>23.113999999999976</v>
      </c>
      <c r="I146" s="28">
        <f>SUM(H146:H146)</f>
        <v>23.113999999999976</v>
      </c>
      <c r="J146" s="46">
        <f t="shared" si="6"/>
        <v>0.5599177487529039</v>
      </c>
      <c r="L146"/>
    </row>
    <row r="147" spans="1:12" x14ac:dyDescent="0.3">
      <c r="A147" s="16" t="s">
        <v>18</v>
      </c>
      <c r="B147" s="16">
        <v>10</v>
      </c>
      <c r="C147">
        <v>2</v>
      </c>
      <c r="D147" s="18" t="s">
        <v>163</v>
      </c>
      <c r="E147" s="22" t="s">
        <v>263</v>
      </c>
      <c r="F147" s="22">
        <v>746.29899999999998</v>
      </c>
      <c r="G147" s="32">
        <v>5.7549999999999955</v>
      </c>
      <c r="H147" s="32">
        <v>4.2490000000000236</v>
      </c>
      <c r="I147" s="20">
        <f t="shared" ref="I147:I210" si="7">SUM(G147:H147)</f>
        <v>10.004000000000019</v>
      </c>
      <c r="J147" s="46">
        <f t="shared" si="6"/>
        <v>0.57526989204318113</v>
      </c>
      <c r="L147"/>
    </row>
    <row r="148" spans="1:12" x14ac:dyDescent="0.3">
      <c r="A148" s="24" t="s">
        <v>16</v>
      </c>
      <c r="B148" s="24">
        <v>11</v>
      </c>
      <c r="C148">
        <v>7</v>
      </c>
      <c r="D148" s="22" t="s">
        <v>164</v>
      </c>
      <c r="E148" s="22" t="s">
        <v>261</v>
      </c>
      <c r="F148">
        <v>362.40899999999999</v>
      </c>
      <c r="G148" s="23">
        <v>8.507000000000005</v>
      </c>
      <c r="H148" s="23">
        <v>5.9990000000000236</v>
      </c>
      <c r="I148" s="20">
        <f t="shared" si="7"/>
        <v>14.506000000000029</v>
      </c>
      <c r="J148" s="46">
        <f t="shared" si="6"/>
        <v>0.58644698745346668</v>
      </c>
      <c r="L148"/>
    </row>
    <row r="149" spans="1:12" x14ac:dyDescent="0.3">
      <c r="A149" s="24" t="s">
        <v>16</v>
      </c>
      <c r="B149" s="24">
        <v>10</v>
      </c>
      <c r="C149">
        <v>9</v>
      </c>
      <c r="D149" s="22" t="s">
        <v>165</v>
      </c>
      <c r="E149" s="22" t="s">
        <v>261</v>
      </c>
      <c r="F149">
        <v>258.84199999999998</v>
      </c>
      <c r="G149" s="23">
        <v>21.083999999999975</v>
      </c>
      <c r="H149" s="23">
        <v>14.41700000000003</v>
      </c>
      <c r="I149" s="20">
        <f t="shared" si="7"/>
        <v>35.501000000000005</v>
      </c>
      <c r="J149" s="46">
        <f t="shared" si="6"/>
        <v>0.59389876341511427</v>
      </c>
      <c r="L149"/>
    </row>
    <row r="150" spans="1:12" x14ac:dyDescent="0.3">
      <c r="A150" s="16" t="s">
        <v>21</v>
      </c>
      <c r="B150" s="16">
        <v>8</v>
      </c>
      <c r="C150">
        <v>4</v>
      </c>
      <c r="D150" s="18" t="s">
        <v>166</v>
      </c>
      <c r="E150" s="22" t="s">
        <v>259</v>
      </c>
      <c r="F150" s="22">
        <v>852.745</v>
      </c>
      <c r="G150" s="25">
        <v>12.226999999999975</v>
      </c>
      <c r="H150" s="25">
        <v>8.27800000000002</v>
      </c>
      <c r="I150" s="20">
        <f t="shared" si="7"/>
        <v>20.504999999999995</v>
      </c>
      <c r="J150" s="46">
        <f t="shared" si="6"/>
        <v>0.596293586930016</v>
      </c>
      <c r="L150"/>
    </row>
    <row r="151" spans="1:12" x14ac:dyDescent="0.3">
      <c r="A151" s="16" t="s">
        <v>18</v>
      </c>
      <c r="B151" s="16">
        <v>12</v>
      </c>
      <c r="C151">
        <v>6</v>
      </c>
      <c r="D151" s="18" t="s">
        <v>167</v>
      </c>
      <c r="E151" s="22" t="s">
        <v>259</v>
      </c>
      <c r="F151">
        <v>99.787999999999997</v>
      </c>
      <c r="G151" s="23">
        <v>22.63900000000001</v>
      </c>
      <c r="H151" s="23">
        <v>14.915999999999997</v>
      </c>
      <c r="I151" s="20">
        <f t="shared" si="7"/>
        <v>37.555000000000007</v>
      </c>
      <c r="J151" s="48">
        <f t="shared" si="6"/>
        <v>0.60282252696045813</v>
      </c>
      <c r="L151"/>
    </row>
    <row r="152" spans="1:12" x14ac:dyDescent="0.3">
      <c r="A152" s="16" t="s">
        <v>21</v>
      </c>
      <c r="B152" s="16">
        <v>10</v>
      </c>
      <c r="C152">
        <v>10</v>
      </c>
      <c r="D152" s="18" t="s">
        <v>168</v>
      </c>
      <c r="E152" s="22" t="s">
        <v>257</v>
      </c>
      <c r="F152">
        <v>144.68899999999999</v>
      </c>
      <c r="G152" s="32">
        <v>16.063999999999993</v>
      </c>
      <c r="H152" s="26">
        <v>9.936000000000007</v>
      </c>
      <c r="I152" s="20">
        <f t="shared" si="7"/>
        <v>26</v>
      </c>
      <c r="J152" s="48">
        <f t="shared" si="6"/>
        <v>0.6178461538461536</v>
      </c>
      <c r="L152"/>
    </row>
    <row r="153" spans="1:12" x14ac:dyDescent="0.3">
      <c r="A153" s="16" t="s">
        <v>31</v>
      </c>
      <c r="B153" s="16">
        <v>11</v>
      </c>
      <c r="C153">
        <v>16</v>
      </c>
      <c r="D153" s="22" t="s">
        <v>169</v>
      </c>
      <c r="E153" s="22" t="s">
        <v>257</v>
      </c>
      <c r="F153">
        <v>143.06299999999999</v>
      </c>
      <c r="G153" s="23">
        <v>12.765000000000015</v>
      </c>
      <c r="H153" s="23">
        <v>7.7459999999999809</v>
      </c>
      <c r="I153" s="20">
        <f t="shared" si="7"/>
        <v>20.510999999999996</v>
      </c>
      <c r="J153" s="48">
        <f t="shared" si="6"/>
        <v>0.62234898347228407</v>
      </c>
      <c r="L153"/>
    </row>
    <row r="154" spans="1:12" x14ac:dyDescent="0.3">
      <c r="A154" s="16" t="s">
        <v>21</v>
      </c>
      <c r="B154" s="16">
        <v>8</v>
      </c>
      <c r="C154">
        <v>12</v>
      </c>
      <c r="D154" s="18" t="s">
        <v>170</v>
      </c>
      <c r="E154" s="22" t="s">
        <v>259</v>
      </c>
      <c r="F154">
        <v>55.033999999999999</v>
      </c>
      <c r="G154" s="23">
        <v>16.247000000000007</v>
      </c>
      <c r="H154" s="23">
        <v>8.7639999999999958</v>
      </c>
      <c r="I154" s="20">
        <f t="shared" si="7"/>
        <v>25.011000000000003</v>
      </c>
      <c r="J154" s="48">
        <f t="shared" si="6"/>
        <v>0.6495941785614332</v>
      </c>
      <c r="L154"/>
    </row>
    <row r="155" spans="1:12" x14ac:dyDescent="0.3">
      <c r="A155" s="16" t="s">
        <v>31</v>
      </c>
      <c r="B155" s="16">
        <v>11</v>
      </c>
      <c r="C155">
        <v>8</v>
      </c>
      <c r="D155" s="18" t="s">
        <v>171</v>
      </c>
      <c r="E155" s="22" t="s">
        <v>261</v>
      </c>
      <c r="F155">
        <v>49.048000000000002</v>
      </c>
      <c r="G155" s="23">
        <v>3.2600000000000051</v>
      </c>
      <c r="H155" s="23">
        <v>1.7439999999999998</v>
      </c>
      <c r="I155" s="20">
        <f t="shared" si="7"/>
        <v>5.0040000000000049</v>
      </c>
      <c r="J155" s="48">
        <f t="shared" si="6"/>
        <v>0.65147881694644327</v>
      </c>
      <c r="L155"/>
    </row>
    <row r="156" spans="1:12" x14ac:dyDescent="0.3">
      <c r="A156" s="16" t="s">
        <v>14</v>
      </c>
      <c r="B156" s="16">
        <v>11</v>
      </c>
      <c r="C156">
        <v>4</v>
      </c>
      <c r="D156" s="22" t="s">
        <v>172</v>
      </c>
      <c r="E156" s="22" t="s">
        <v>257</v>
      </c>
      <c r="F156" s="22">
        <v>1265.086</v>
      </c>
      <c r="G156" s="25">
        <v>10.493999999999915</v>
      </c>
      <c r="H156" s="25">
        <v>5.5160000000000764</v>
      </c>
      <c r="I156" s="20">
        <f t="shared" si="7"/>
        <v>16.009999999999991</v>
      </c>
      <c r="J156" s="48">
        <f t="shared" si="6"/>
        <v>0.65546533416614117</v>
      </c>
      <c r="L156"/>
    </row>
    <row r="157" spans="1:12" x14ac:dyDescent="0.3">
      <c r="A157" s="16" t="s">
        <v>59</v>
      </c>
      <c r="B157" s="16">
        <v>10</v>
      </c>
      <c r="C157">
        <v>4</v>
      </c>
      <c r="D157" s="18" t="s">
        <v>173</v>
      </c>
      <c r="E157" s="66" t="s">
        <v>257</v>
      </c>
      <c r="F157" s="22">
        <v>482.76400000000001</v>
      </c>
      <c r="G157" s="25">
        <v>7.6119999999999663</v>
      </c>
      <c r="H157" s="25">
        <v>3.8910000000000196</v>
      </c>
      <c r="I157" s="20">
        <f t="shared" si="7"/>
        <v>11.502999999999986</v>
      </c>
      <c r="J157" s="48">
        <f t="shared" si="6"/>
        <v>0.66174041554376906</v>
      </c>
      <c r="L157"/>
    </row>
    <row r="158" spans="1:12" x14ac:dyDescent="0.3">
      <c r="A158" s="16" t="s">
        <v>31</v>
      </c>
      <c r="B158" s="16">
        <v>6</v>
      </c>
      <c r="C158">
        <v>8</v>
      </c>
      <c r="D158" s="18" t="s">
        <v>174</v>
      </c>
      <c r="E158" s="22" t="s">
        <v>257</v>
      </c>
      <c r="F158">
        <v>149.04599999999999</v>
      </c>
      <c r="G158" s="23">
        <v>19.686999999999983</v>
      </c>
      <c r="H158" s="23">
        <v>9.8379999999999939</v>
      </c>
      <c r="I158" s="20">
        <f t="shared" si="7"/>
        <v>29.524999999999977</v>
      </c>
      <c r="J158" s="48">
        <f t="shared" si="6"/>
        <v>0.66679085520745129</v>
      </c>
      <c r="L158"/>
    </row>
    <row r="159" spans="1:12" x14ac:dyDescent="0.3">
      <c r="A159" s="16" t="s">
        <v>18</v>
      </c>
      <c r="B159" s="16">
        <v>12</v>
      </c>
      <c r="C159">
        <v>9</v>
      </c>
      <c r="D159" s="49" t="s">
        <v>175</v>
      </c>
      <c r="E159" s="22" t="s">
        <v>265</v>
      </c>
      <c r="F159">
        <v>261.69299999999998</v>
      </c>
      <c r="G159" s="23">
        <v>23.934999999999974</v>
      </c>
      <c r="H159" s="23">
        <v>11.566000000000031</v>
      </c>
      <c r="I159" s="20">
        <f t="shared" si="7"/>
        <v>35.501000000000005</v>
      </c>
      <c r="J159" s="48">
        <f t="shared" si="6"/>
        <v>0.67420636038421367</v>
      </c>
      <c r="L159"/>
    </row>
    <row r="160" spans="1:12" x14ac:dyDescent="0.3">
      <c r="A160" s="16" t="s">
        <v>23</v>
      </c>
      <c r="B160" s="16">
        <v>12</v>
      </c>
      <c r="C160">
        <v>9</v>
      </c>
      <c r="D160" s="38" t="s">
        <v>175</v>
      </c>
      <c r="E160" s="22" t="s">
        <v>265</v>
      </c>
      <c r="F160">
        <v>261.69299999999998</v>
      </c>
      <c r="G160" s="23">
        <v>23.934999999999974</v>
      </c>
      <c r="H160" s="23">
        <v>11.566000000000031</v>
      </c>
      <c r="I160" s="20">
        <f t="shared" si="7"/>
        <v>35.501000000000005</v>
      </c>
      <c r="J160" s="48">
        <f t="shared" si="6"/>
        <v>0.67420636038421367</v>
      </c>
      <c r="L160"/>
    </row>
    <row r="161" spans="1:12" x14ac:dyDescent="0.3">
      <c r="A161" s="16" t="s">
        <v>23</v>
      </c>
      <c r="B161" s="16">
        <v>5</v>
      </c>
      <c r="C161">
        <v>11</v>
      </c>
      <c r="D161" s="22" t="s">
        <v>176</v>
      </c>
      <c r="E161" s="22" t="s">
        <v>257</v>
      </c>
      <c r="F161">
        <v>127.515</v>
      </c>
      <c r="G161" s="23">
        <v>13.305999999999997</v>
      </c>
      <c r="H161" s="23">
        <v>6.2039999999999935</v>
      </c>
      <c r="I161" s="20">
        <f t="shared" si="7"/>
        <v>19.509999999999991</v>
      </c>
      <c r="J161" s="48">
        <f t="shared" si="6"/>
        <v>0.68200922603792946</v>
      </c>
      <c r="L161"/>
    </row>
    <row r="162" spans="1:12" x14ac:dyDescent="0.3">
      <c r="A162" s="16" t="s">
        <v>23</v>
      </c>
      <c r="B162" s="16">
        <v>11</v>
      </c>
      <c r="C162">
        <v>9</v>
      </c>
      <c r="D162" s="22" t="s">
        <v>177</v>
      </c>
      <c r="E162" s="22" t="s">
        <v>263</v>
      </c>
      <c r="F162">
        <v>326.38200000000001</v>
      </c>
      <c r="G162" s="23">
        <v>30.379999999999995</v>
      </c>
      <c r="H162" s="23">
        <v>14.122000000000014</v>
      </c>
      <c r="I162" s="20">
        <f t="shared" si="7"/>
        <v>44.50200000000001</v>
      </c>
      <c r="J162" s="48">
        <f t="shared" si="6"/>
        <v>0.68266594759786048</v>
      </c>
      <c r="L162"/>
    </row>
    <row r="163" spans="1:12" x14ac:dyDescent="0.3">
      <c r="A163" s="16" t="s">
        <v>12</v>
      </c>
      <c r="B163" s="16">
        <v>7</v>
      </c>
      <c r="C163">
        <v>4</v>
      </c>
      <c r="D163" s="18" t="s">
        <v>178</v>
      </c>
      <c r="E163" s="22" t="s">
        <v>265</v>
      </c>
      <c r="F163" s="50">
        <v>656.87900000000002</v>
      </c>
      <c r="G163" s="25">
        <v>25.966999999999985</v>
      </c>
      <c r="H163" s="25">
        <v>11.543000000000006</v>
      </c>
      <c r="I163" s="20">
        <f t="shared" si="7"/>
        <v>37.509999999999991</v>
      </c>
      <c r="J163" s="48">
        <f t="shared" si="6"/>
        <v>0.69226872833910935</v>
      </c>
      <c r="L163"/>
    </row>
    <row r="164" spans="1:12" x14ac:dyDescent="0.3">
      <c r="A164" s="16" t="s">
        <v>12</v>
      </c>
      <c r="B164" s="16">
        <v>3</v>
      </c>
      <c r="C164">
        <v>11</v>
      </c>
      <c r="D164" s="18" t="s">
        <v>179</v>
      </c>
      <c r="E164" s="22" t="s">
        <v>259</v>
      </c>
      <c r="F164">
        <v>169.24600000000001</v>
      </c>
      <c r="G164" s="23">
        <v>13.918000000000006</v>
      </c>
      <c r="H164" s="23">
        <v>6.0929999999999893</v>
      </c>
      <c r="I164" s="20">
        <f t="shared" si="7"/>
        <v>20.010999999999996</v>
      </c>
      <c r="J164" s="48">
        <f t="shared" si="6"/>
        <v>0.6955174653940337</v>
      </c>
      <c r="L164"/>
    </row>
    <row r="165" spans="1:12" x14ac:dyDescent="0.3">
      <c r="A165" s="16" t="s">
        <v>21</v>
      </c>
      <c r="B165" s="16">
        <v>3</v>
      </c>
      <c r="C165">
        <v>12</v>
      </c>
      <c r="D165" s="18" t="s">
        <v>180</v>
      </c>
      <c r="E165" s="22" t="s">
        <v>259</v>
      </c>
      <c r="F165">
        <v>205.738</v>
      </c>
      <c r="G165" s="23">
        <v>21.611999999999995</v>
      </c>
      <c r="H165" s="23">
        <v>9.4010000000000105</v>
      </c>
      <c r="I165" s="20">
        <f t="shared" si="7"/>
        <v>31.013000000000005</v>
      </c>
      <c r="J165" s="48">
        <f t="shared" si="6"/>
        <v>0.69686905491245577</v>
      </c>
      <c r="L165"/>
    </row>
    <row r="166" spans="1:12" x14ac:dyDescent="0.3">
      <c r="A166" s="24" t="s">
        <v>16</v>
      </c>
      <c r="B166" s="24">
        <v>7</v>
      </c>
      <c r="C166">
        <v>14</v>
      </c>
      <c r="D166" s="22" t="s">
        <v>181</v>
      </c>
      <c r="E166" s="22" t="s">
        <v>257</v>
      </c>
      <c r="F166">
        <v>578.52200000000005</v>
      </c>
      <c r="G166" s="23">
        <v>16.665000000000077</v>
      </c>
      <c r="H166" s="23">
        <v>6.8399999999999181</v>
      </c>
      <c r="I166" s="20">
        <f t="shared" si="7"/>
        <v>23.504999999999995</v>
      </c>
      <c r="J166" s="41">
        <f t="shared" si="6"/>
        <v>0.7089980855137239</v>
      </c>
      <c r="L166"/>
    </row>
    <row r="167" spans="1:12" x14ac:dyDescent="0.3">
      <c r="A167" s="16" t="s">
        <v>23</v>
      </c>
      <c r="B167" s="16">
        <v>4</v>
      </c>
      <c r="C167">
        <v>7</v>
      </c>
      <c r="D167" s="22" t="s">
        <v>182</v>
      </c>
      <c r="E167" s="22" t="s">
        <v>263</v>
      </c>
      <c r="F167">
        <v>1044</v>
      </c>
      <c r="G167" s="23">
        <v>20.215000000000146</v>
      </c>
      <c r="H167" s="23">
        <v>8.2949999999998454</v>
      </c>
      <c r="I167" s="20">
        <f t="shared" si="7"/>
        <v>28.509999999999991</v>
      </c>
      <c r="J167" s="41">
        <f t="shared" si="6"/>
        <v>0.70904945633111727</v>
      </c>
      <c r="L167"/>
    </row>
    <row r="168" spans="1:12" x14ac:dyDescent="0.3">
      <c r="A168" s="16" t="s">
        <v>14</v>
      </c>
      <c r="B168" s="16">
        <v>5</v>
      </c>
      <c r="C168">
        <v>12</v>
      </c>
      <c r="D168" s="18" t="s">
        <v>183</v>
      </c>
      <c r="E168" s="18" t="s">
        <v>261</v>
      </c>
      <c r="F168">
        <v>309.49700000000001</v>
      </c>
      <c r="G168" s="23">
        <v>17.117999999999995</v>
      </c>
      <c r="H168" s="23">
        <v>6.8929999999999723</v>
      </c>
      <c r="I168" s="20">
        <f t="shared" si="7"/>
        <v>24.010999999999967</v>
      </c>
      <c r="J168" s="41">
        <f t="shared" si="6"/>
        <v>0.71292324351339043</v>
      </c>
      <c r="L168"/>
    </row>
    <row r="169" spans="1:12" x14ac:dyDescent="0.3">
      <c r="A169" s="16" t="s">
        <v>18</v>
      </c>
      <c r="B169" s="16">
        <v>12</v>
      </c>
      <c r="C169">
        <v>4</v>
      </c>
      <c r="D169" s="18" t="s">
        <v>184</v>
      </c>
      <c r="E169" s="22" t="s">
        <v>261</v>
      </c>
      <c r="F169" s="18">
        <v>1327.1969999999999</v>
      </c>
      <c r="G169" s="25">
        <v>18.606999999999971</v>
      </c>
      <c r="H169" s="25">
        <v>7.3930000000000291</v>
      </c>
      <c r="I169" s="20">
        <f t="shared" si="7"/>
        <v>26</v>
      </c>
      <c r="J169" s="41">
        <f t="shared" si="6"/>
        <v>0.71565384615384509</v>
      </c>
      <c r="L169"/>
    </row>
    <row r="170" spans="1:12" x14ac:dyDescent="0.3">
      <c r="A170" s="16" t="s">
        <v>21</v>
      </c>
      <c r="B170" s="16">
        <v>13</v>
      </c>
      <c r="C170" s="17">
        <v>1</v>
      </c>
      <c r="D170" s="18" t="s">
        <v>185</v>
      </c>
      <c r="E170" s="22" t="s">
        <v>257</v>
      </c>
      <c r="F170" s="51">
        <v>39.323</v>
      </c>
      <c r="G170" s="25">
        <v>8.9600000000000009</v>
      </c>
      <c r="H170" s="25">
        <v>3.5489999999999999</v>
      </c>
      <c r="I170" s="20">
        <f t="shared" si="7"/>
        <v>12.509</v>
      </c>
      <c r="J170" s="41">
        <f t="shared" si="6"/>
        <v>0.71628427532176842</v>
      </c>
      <c r="L170"/>
    </row>
    <row r="171" spans="1:12" x14ac:dyDescent="0.3">
      <c r="A171" s="16" t="s">
        <v>31</v>
      </c>
      <c r="B171" s="16">
        <v>3</v>
      </c>
      <c r="C171">
        <v>7</v>
      </c>
      <c r="D171" s="18" t="s">
        <v>186</v>
      </c>
      <c r="E171" s="22" t="s">
        <v>259</v>
      </c>
      <c r="F171">
        <v>48.911000000000001</v>
      </c>
      <c r="G171" s="23">
        <v>14.866</v>
      </c>
      <c r="H171" s="23">
        <v>5.6430000000000007</v>
      </c>
      <c r="I171" s="20">
        <f t="shared" si="7"/>
        <v>20.509</v>
      </c>
      <c r="J171" s="41">
        <f t="shared" si="6"/>
        <v>0.72485250377882882</v>
      </c>
      <c r="L171"/>
    </row>
    <row r="172" spans="1:12" x14ac:dyDescent="0.3">
      <c r="A172" s="16" t="s">
        <v>14</v>
      </c>
      <c r="B172" s="16">
        <v>5</v>
      </c>
      <c r="C172">
        <v>12</v>
      </c>
      <c r="D172" s="18" t="s">
        <v>187</v>
      </c>
      <c r="E172" s="18" t="s">
        <v>258</v>
      </c>
      <c r="F172">
        <v>332.82400000000001</v>
      </c>
      <c r="G172" s="23">
        <v>43.592999999999961</v>
      </c>
      <c r="H172" s="23">
        <v>16.434000000000026</v>
      </c>
      <c r="I172" s="20">
        <f t="shared" si="7"/>
        <v>60.026999999999987</v>
      </c>
      <c r="J172" s="41">
        <f t="shared" si="6"/>
        <v>0.72622319956019743</v>
      </c>
      <c r="L172"/>
    </row>
    <row r="173" spans="1:12" ht="15" customHeight="1" x14ac:dyDescent="0.3">
      <c r="A173" s="16" t="s">
        <v>23</v>
      </c>
      <c r="B173" s="16">
        <v>4</v>
      </c>
      <c r="C173">
        <v>16</v>
      </c>
      <c r="D173" s="22" t="s">
        <v>188</v>
      </c>
      <c r="E173" s="22" t="s">
        <v>261</v>
      </c>
      <c r="F173">
        <v>131.08799999999999</v>
      </c>
      <c r="G173" s="23">
        <v>11.277999999999992</v>
      </c>
      <c r="H173" s="23">
        <v>4.2290000000000134</v>
      </c>
      <c r="I173" s="20">
        <f t="shared" si="7"/>
        <v>15.507000000000005</v>
      </c>
      <c r="J173" s="41">
        <f t="shared" si="6"/>
        <v>0.7272844521828844</v>
      </c>
      <c r="L173"/>
    </row>
    <row r="174" spans="1:12" ht="16.2" customHeight="1" x14ac:dyDescent="0.3">
      <c r="A174" s="16" t="s">
        <v>21</v>
      </c>
      <c r="B174" s="16">
        <v>12</v>
      </c>
      <c r="C174">
        <v>15</v>
      </c>
      <c r="D174" s="18" t="s">
        <v>189</v>
      </c>
      <c r="E174" s="22" t="s">
        <v>258</v>
      </c>
      <c r="F174">
        <v>803.66899999999998</v>
      </c>
      <c r="G174" s="23">
        <v>29.909999999999968</v>
      </c>
      <c r="H174" s="23">
        <v>10.590000000000032</v>
      </c>
      <c r="I174" s="20">
        <f t="shared" si="7"/>
        <v>40.5</v>
      </c>
      <c r="J174" s="41">
        <f t="shared" si="6"/>
        <v>0.73851851851851769</v>
      </c>
      <c r="L174"/>
    </row>
    <row r="175" spans="1:12" x14ac:dyDescent="0.3">
      <c r="A175" s="16" t="s">
        <v>59</v>
      </c>
      <c r="B175" s="16">
        <v>8</v>
      </c>
      <c r="C175">
        <v>16</v>
      </c>
      <c r="D175" s="22" t="s">
        <v>190</v>
      </c>
      <c r="E175" s="66" t="s">
        <v>263</v>
      </c>
      <c r="F175">
        <v>792.25099999999998</v>
      </c>
      <c r="G175" s="23">
        <v>19.614000000000033</v>
      </c>
      <c r="H175" s="23">
        <v>6.8990000000000009</v>
      </c>
      <c r="I175" s="20">
        <f t="shared" si="7"/>
        <v>26.513000000000034</v>
      </c>
      <c r="J175" s="41">
        <f t="shared" si="6"/>
        <v>0.73978802851431402</v>
      </c>
      <c r="L175"/>
    </row>
    <row r="176" spans="1:12" x14ac:dyDescent="0.3">
      <c r="A176" s="24" t="s">
        <v>16</v>
      </c>
      <c r="B176" s="24">
        <v>7</v>
      </c>
      <c r="C176">
        <v>4</v>
      </c>
      <c r="D176" s="22" t="s">
        <v>191</v>
      </c>
      <c r="E176" s="22" t="s">
        <v>259</v>
      </c>
      <c r="F176" s="18">
        <v>1133.213</v>
      </c>
      <c r="G176" s="25">
        <v>31.336999999999989</v>
      </c>
      <c r="H176" s="25">
        <v>10.673000000000002</v>
      </c>
      <c r="I176" s="20">
        <f t="shared" si="7"/>
        <v>42.009999999999991</v>
      </c>
      <c r="J176" s="41">
        <f t="shared" si="6"/>
        <v>0.7459414425136871</v>
      </c>
      <c r="L176"/>
    </row>
    <row r="177" spans="1:12" x14ac:dyDescent="0.3">
      <c r="A177" s="16" t="s">
        <v>31</v>
      </c>
      <c r="B177" s="16">
        <v>15</v>
      </c>
      <c r="C177">
        <v>10</v>
      </c>
      <c r="D177" s="18" t="s">
        <v>192</v>
      </c>
      <c r="E177" s="22" t="s">
        <v>262</v>
      </c>
      <c r="F177">
        <v>644.95699999999999</v>
      </c>
      <c r="G177" s="26">
        <v>10.307999999999993</v>
      </c>
      <c r="H177" s="26">
        <v>3.1920000000000073</v>
      </c>
      <c r="I177" s="20">
        <f t="shared" si="7"/>
        <v>13.5</v>
      </c>
      <c r="J177" s="41">
        <f t="shared" si="6"/>
        <v>0.76355555555555499</v>
      </c>
      <c r="L177"/>
    </row>
    <row r="178" spans="1:12" x14ac:dyDescent="0.3">
      <c r="A178" s="16" t="s">
        <v>23</v>
      </c>
      <c r="B178" s="16">
        <v>7</v>
      </c>
      <c r="C178">
        <v>12</v>
      </c>
      <c r="D178" s="22" t="s">
        <v>193</v>
      </c>
      <c r="E178" s="22" t="s">
        <v>257</v>
      </c>
      <c r="F178">
        <v>203.66499999999999</v>
      </c>
      <c r="G178" s="23">
        <v>23.685000000000002</v>
      </c>
      <c r="H178" s="23">
        <v>7.328000000000003</v>
      </c>
      <c r="I178" s="20">
        <f t="shared" si="7"/>
        <v>31.013000000000005</v>
      </c>
      <c r="J178" s="41">
        <f t="shared" si="6"/>
        <v>0.76371199174539706</v>
      </c>
      <c r="L178"/>
    </row>
    <row r="179" spans="1:12" x14ac:dyDescent="0.3">
      <c r="A179" s="16" t="s">
        <v>23</v>
      </c>
      <c r="B179" s="16">
        <v>3</v>
      </c>
      <c r="C179">
        <v>14</v>
      </c>
      <c r="D179" s="22" t="s">
        <v>194</v>
      </c>
      <c r="E179" s="22" t="s">
        <v>261</v>
      </c>
      <c r="F179">
        <v>777.92399999999998</v>
      </c>
      <c r="G179" s="23">
        <v>8.02699999999993</v>
      </c>
      <c r="H179" s="23">
        <v>2.4750000000000227</v>
      </c>
      <c r="I179" s="20">
        <f t="shared" si="7"/>
        <v>10.501999999999953</v>
      </c>
      <c r="J179" s="41">
        <f t="shared" si="6"/>
        <v>0.7643306036945311</v>
      </c>
      <c r="L179"/>
    </row>
    <row r="180" spans="1:12" x14ac:dyDescent="0.3">
      <c r="A180" s="16" t="s">
        <v>12</v>
      </c>
      <c r="B180" s="16">
        <v>11</v>
      </c>
      <c r="C180">
        <v>10</v>
      </c>
      <c r="D180" s="18" t="s">
        <v>195</v>
      </c>
      <c r="E180" s="22" t="s">
        <v>259</v>
      </c>
      <c r="F180">
        <v>668.89300000000003</v>
      </c>
      <c r="G180" s="26">
        <v>15.372999999999934</v>
      </c>
      <c r="H180" s="26">
        <v>4.6270000000000664</v>
      </c>
      <c r="I180" s="20">
        <f t="shared" si="7"/>
        <v>20</v>
      </c>
      <c r="J180" s="41">
        <f t="shared" si="6"/>
        <v>0.76864999999999672</v>
      </c>
      <c r="L180"/>
    </row>
    <row r="181" spans="1:12" x14ac:dyDescent="0.3">
      <c r="A181" s="16" t="s">
        <v>31</v>
      </c>
      <c r="B181" s="16">
        <v>15</v>
      </c>
      <c r="C181">
        <v>7</v>
      </c>
      <c r="D181" s="18" t="s">
        <v>196</v>
      </c>
      <c r="E181" s="22" t="s">
        <v>258</v>
      </c>
      <c r="F181">
        <v>92.980999999999995</v>
      </c>
      <c r="G181" s="23">
        <v>19.817000000000007</v>
      </c>
      <c r="H181" s="23">
        <v>5.6939999999999884</v>
      </c>
      <c r="I181" s="20">
        <f t="shared" si="7"/>
        <v>25.510999999999996</v>
      </c>
      <c r="J181" s="41">
        <f t="shared" si="6"/>
        <v>0.77680216377249067</v>
      </c>
      <c r="L181"/>
    </row>
    <row r="182" spans="1:12" x14ac:dyDescent="0.3">
      <c r="A182" s="16" t="s">
        <v>14</v>
      </c>
      <c r="B182" s="16">
        <v>4</v>
      </c>
      <c r="C182">
        <v>4</v>
      </c>
      <c r="D182" s="22" t="s">
        <v>197</v>
      </c>
      <c r="E182" s="22" t="s">
        <v>261</v>
      </c>
      <c r="F182" s="22">
        <v>660.51700000000005</v>
      </c>
      <c r="G182" s="25">
        <v>29.605000000000018</v>
      </c>
      <c r="H182" s="25">
        <v>7.9049999999999727</v>
      </c>
      <c r="I182" s="20">
        <f t="shared" si="7"/>
        <v>37.509999999999991</v>
      </c>
      <c r="J182" s="41">
        <f t="shared" si="6"/>
        <v>0.78925619834710814</v>
      </c>
      <c r="L182"/>
    </row>
    <row r="183" spans="1:12" x14ac:dyDescent="0.3">
      <c r="A183" s="16" t="s">
        <v>14</v>
      </c>
      <c r="B183" s="16">
        <v>11</v>
      </c>
      <c r="C183">
        <v>7</v>
      </c>
      <c r="D183" s="22" t="s">
        <v>198</v>
      </c>
      <c r="E183" s="22" t="s">
        <v>258</v>
      </c>
      <c r="F183">
        <v>27.643999999999998</v>
      </c>
      <c r="G183" s="32">
        <v>1.6180000000000021</v>
      </c>
      <c r="H183" s="23">
        <v>0.38299999999999912</v>
      </c>
      <c r="I183" s="20">
        <f t="shared" si="7"/>
        <v>2.0010000000000012</v>
      </c>
      <c r="J183" s="52">
        <f t="shared" si="6"/>
        <v>0.80859570214892607</v>
      </c>
      <c r="L183"/>
    </row>
    <row r="184" spans="1:12" x14ac:dyDescent="0.3">
      <c r="A184" s="16" t="s">
        <v>12</v>
      </c>
      <c r="B184" s="16">
        <v>11</v>
      </c>
      <c r="C184">
        <v>10</v>
      </c>
      <c r="D184" s="18" t="s">
        <v>199</v>
      </c>
      <c r="E184" s="22" t="s">
        <v>264</v>
      </c>
      <c r="F184">
        <v>43.582000000000001</v>
      </c>
      <c r="G184" s="26">
        <v>24.169000000000004</v>
      </c>
      <c r="H184" s="26">
        <v>5.3320000000000007</v>
      </c>
      <c r="I184" s="20">
        <f t="shared" si="7"/>
        <v>29.501000000000005</v>
      </c>
      <c r="J184" s="52">
        <f t="shared" si="6"/>
        <v>0.81926036405545577</v>
      </c>
      <c r="L184"/>
    </row>
    <row r="185" spans="1:12" x14ac:dyDescent="0.3">
      <c r="A185" s="16" t="s">
        <v>59</v>
      </c>
      <c r="B185" s="16">
        <v>10</v>
      </c>
      <c r="C185">
        <v>14</v>
      </c>
      <c r="D185" s="18" t="s">
        <v>200</v>
      </c>
      <c r="E185" s="66" t="s">
        <v>263</v>
      </c>
      <c r="F185">
        <v>758.42899999999997</v>
      </c>
      <c r="G185" s="23">
        <v>28.038999999999987</v>
      </c>
      <c r="H185" s="23">
        <v>5.9669999999999845</v>
      </c>
      <c r="I185" s="20">
        <f t="shared" si="7"/>
        <v>34.005999999999972</v>
      </c>
      <c r="J185" s="52">
        <f t="shared" si="6"/>
        <v>0.82453096512380197</v>
      </c>
      <c r="L185"/>
    </row>
    <row r="186" spans="1:12" x14ac:dyDescent="0.3">
      <c r="A186" s="16" t="s">
        <v>18</v>
      </c>
      <c r="B186" s="16">
        <v>10</v>
      </c>
      <c r="C186">
        <v>12</v>
      </c>
      <c r="D186" s="18" t="s">
        <v>201</v>
      </c>
      <c r="E186" s="22" t="s">
        <v>258</v>
      </c>
      <c r="F186">
        <v>43.832999999999998</v>
      </c>
      <c r="G186" s="23">
        <v>12.068999999999999</v>
      </c>
      <c r="H186" s="23">
        <v>2.4370000000000047</v>
      </c>
      <c r="I186" s="20">
        <f t="shared" si="7"/>
        <v>14.506000000000004</v>
      </c>
      <c r="J186" s="52">
        <f t="shared" si="6"/>
        <v>0.83200055149593244</v>
      </c>
      <c r="L186"/>
    </row>
    <row r="187" spans="1:12" x14ac:dyDescent="0.3">
      <c r="A187" s="16" t="s">
        <v>14</v>
      </c>
      <c r="B187" s="16">
        <v>4</v>
      </c>
      <c r="C187">
        <v>13</v>
      </c>
      <c r="D187" s="18" t="s">
        <v>202</v>
      </c>
      <c r="E187" s="18" t="s">
        <v>258</v>
      </c>
      <c r="F187">
        <v>115.72199999999999</v>
      </c>
      <c r="G187" s="23">
        <v>7.9579999999999984</v>
      </c>
      <c r="H187" s="23">
        <v>1.5430000000000064</v>
      </c>
      <c r="I187" s="20">
        <f t="shared" si="7"/>
        <v>9.5010000000000048</v>
      </c>
      <c r="J187" s="52">
        <f t="shared" si="6"/>
        <v>0.83759604252183917</v>
      </c>
      <c r="L187"/>
    </row>
    <row r="188" spans="1:12" x14ac:dyDescent="0.3">
      <c r="A188" s="24" t="s">
        <v>16</v>
      </c>
      <c r="B188" s="24">
        <v>9</v>
      </c>
      <c r="C188">
        <v>10</v>
      </c>
      <c r="D188" s="22" t="s">
        <v>203</v>
      </c>
      <c r="E188" s="22" t="s">
        <v>259</v>
      </c>
      <c r="F188">
        <v>319.40899999999999</v>
      </c>
      <c r="G188" s="26">
        <v>18.84899999999999</v>
      </c>
      <c r="H188" s="26">
        <v>3.6519999999999868</v>
      </c>
      <c r="I188" s="20">
        <f t="shared" si="7"/>
        <v>22.500999999999976</v>
      </c>
      <c r="J188" s="52">
        <f t="shared" si="6"/>
        <v>0.83769610239544956</v>
      </c>
      <c r="L188"/>
    </row>
    <row r="189" spans="1:12" x14ac:dyDescent="0.3">
      <c r="A189" s="16" t="s">
        <v>23</v>
      </c>
      <c r="B189" s="16">
        <v>9</v>
      </c>
      <c r="C189">
        <v>14</v>
      </c>
      <c r="D189" s="22" t="s">
        <v>204</v>
      </c>
      <c r="E189" s="22" t="s">
        <v>259</v>
      </c>
      <c r="F189">
        <v>705.13199999999995</v>
      </c>
      <c r="G189" s="23">
        <v>14.75</v>
      </c>
      <c r="H189" s="23">
        <v>2.7540000000000191</v>
      </c>
      <c r="I189" s="20">
        <f t="shared" si="7"/>
        <v>17.504000000000019</v>
      </c>
      <c r="J189" s="52">
        <f t="shared" si="6"/>
        <v>0.84266453382084006</v>
      </c>
      <c r="L189"/>
    </row>
    <row r="190" spans="1:12" x14ac:dyDescent="0.3">
      <c r="A190" s="16" t="s">
        <v>18</v>
      </c>
      <c r="B190" s="16">
        <v>6</v>
      </c>
      <c r="C190">
        <v>15</v>
      </c>
      <c r="D190" s="18" t="s">
        <v>205</v>
      </c>
      <c r="E190" s="22" t="s">
        <v>258</v>
      </c>
      <c r="F190">
        <v>141.65799999999999</v>
      </c>
      <c r="G190" s="23">
        <v>26.594000000000023</v>
      </c>
      <c r="H190" s="23">
        <v>4.9069999999999823</v>
      </c>
      <c r="I190" s="20">
        <f t="shared" si="7"/>
        <v>31.501000000000005</v>
      </c>
      <c r="J190" s="52">
        <f t="shared" si="6"/>
        <v>0.84422716739151193</v>
      </c>
      <c r="L190"/>
    </row>
    <row r="191" spans="1:12" x14ac:dyDescent="0.3">
      <c r="A191" s="16" t="s">
        <v>23</v>
      </c>
      <c r="B191" s="16">
        <v>3</v>
      </c>
      <c r="C191">
        <v>6</v>
      </c>
      <c r="D191" s="22" t="s">
        <v>206</v>
      </c>
      <c r="E191" s="22" t="s">
        <v>265</v>
      </c>
      <c r="F191">
        <v>264.20400000000001</v>
      </c>
      <c r="G191" s="23">
        <v>28.613</v>
      </c>
      <c r="H191" s="23">
        <v>4.9350000000000023</v>
      </c>
      <c r="I191" s="20">
        <f t="shared" si="7"/>
        <v>33.548000000000002</v>
      </c>
      <c r="J191" s="52">
        <f t="shared" si="6"/>
        <v>0.85289734112316673</v>
      </c>
      <c r="L191"/>
    </row>
    <row r="192" spans="1:12" x14ac:dyDescent="0.3">
      <c r="A192" s="16" t="s">
        <v>14</v>
      </c>
      <c r="B192" s="16">
        <v>14</v>
      </c>
      <c r="C192">
        <v>11</v>
      </c>
      <c r="D192" s="18" t="s">
        <v>207</v>
      </c>
      <c r="E192" s="22" t="s">
        <v>259</v>
      </c>
      <c r="F192">
        <v>403.59899999999999</v>
      </c>
      <c r="G192" s="23">
        <v>15.864000000000033</v>
      </c>
      <c r="H192" s="23">
        <v>2.646000000000015</v>
      </c>
      <c r="I192" s="20">
        <f t="shared" si="7"/>
        <v>18.510000000000048</v>
      </c>
      <c r="J192" s="52">
        <f t="shared" si="6"/>
        <v>0.85705024311183098</v>
      </c>
      <c r="L192"/>
    </row>
    <row r="193" spans="1:12" x14ac:dyDescent="0.3">
      <c r="A193" s="16" t="s">
        <v>18</v>
      </c>
      <c r="B193" s="16">
        <v>6</v>
      </c>
      <c r="C193">
        <v>4</v>
      </c>
      <c r="D193" s="18" t="s">
        <v>208</v>
      </c>
      <c r="E193" s="22" t="s">
        <v>258</v>
      </c>
      <c r="F193" s="22">
        <v>1050.191</v>
      </c>
      <c r="G193" s="25">
        <v>10.828999999999951</v>
      </c>
      <c r="H193" s="25">
        <v>1.6710000000000491</v>
      </c>
      <c r="I193" s="20">
        <f t="shared" si="7"/>
        <v>12.5</v>
      </c>
      <c r="J193" s="52">
        <f t="shared" si="6"/>
        <v>0.86631999999999609</v>
      </c>
      <c r="L193"/>
    </row>
    <row r="194" spans="1:12" x14ac:dyDescent="0.3">
      <c r="A194" s="16" t="s">
        <v>12</v>
      </c>
      <c r="B194" s="16">
        <v>13</v>
      </c>
      <c r="C194">
        <v>4</v>
      </c>
      <c r="D194" s="18" t="s">
        <v>209</v>
      </c>
      <c r="E194" s="22" t="s">
        <v>259</v>
      </c>
      <c r="F194" s="22">
        <v>1050.1880000000001</v>
      </c>
      <c r="G194" s="25">
        <v>10.831999999999899</v>
      </c>
      <c r="H194" s="25">
        <v>1.6680000000001201</v>
      </c>
      <c r="I194" s="20">
        <f t="shared" si="7"/>
        <v>12.50000000000002</v>
      </c>
      <c r="J194" s="52">
        <f t="shared" si="6"/>
        <v>0.86655999999999056</v>
      </c>
      <c r="L194"/>
    </row>
    <row r="195" spans="1:12" x14ac:dyDescent="0.3">
      <c r="A195" s="16" t="s">
        <v>59</v>
      </c>
      <c r="B195" s="16">
        <v>7</v>
      </c>
      <c r="C195">
        <v>7</v>
      </c>
      <c r="D195" s="18" t="s">
        <v>210</v>
      </c>
      <c r="E195" s="66" t="s">
        <v>260</v>
      </c>
      <c r="F195">
        <v>269.91199999999998</v>
      </c>
      <c r="G195" s="23">
        <v>3.0480000000000018</v>
      </c>
      <c r="H195" s="23">
        <v>0.45400000000000773</v>
      </c>
      <c r="I195" s="20">
        <f t="shared" si="7"/>
        <v>3.5020000000000095</v>
      </c>
      <c r="J195" s="52">
        <f t="shared" si="6"/>
        <v>0.87035979440319633</v>
      </c>
      <c r="L195"/>
    </row>
    <row r="196" spans="1:12" x14ac:dyDescent="0.3">
      <c r="A196" s="16" t="s">
        <v>14</v>
      </c>
      <c r="B196" s="16">
        <v>3</v>
      </c>
      <c r="C196">
        <v>13</v>
      </c>
      <c r="D196" s="18" t="s">
        <v>211</v>
      </c>
      <c r="E196" s="18" t="s">
        <v>265</v>
      </c>
      <c r="F196">
        <v>399.38900000000001</v>
      </c>
      <c r="G196" s="23">
        <v>30.088999999999999</v>
      </c>
      <c r="H196" s="23">
        <v>4.4159999999999968</v>
      </c>
      <c r="I196" s="20">
        <f t="shared" si="7"/>
        <v>34.504999999999995</v>
      </c>
      <c r="J196" s="52">
        <f t="shared" ref="J196:J240" si="8">G196/SUM(G196:H196)</f>
        <v>0.87201854803651657</v>
      </c>
      <c r="L196"/>
    </row>
    <row r="197" spans="1:12" x14ac:dyDescent="0.3">
      <c r="A197" s="16" t="s">
        <v>18</v>
      </c>
      <c r="B197" s="16">
        <v>6</v>
      </c>
      <c r="C197">
        <v>4</v>
      </c>
      <c r="D197" s="18" t="s">
        <v>212</v>
      </c>
      <c r="E197" s="22" t="s">
        <v>263</v>
      </c>
      <c r="F197" s="22">
        <v>154.572</v>
      </c>
      <c r="G197" s="25">
        <v>30.290000000000006</v>
      </c>
      <c r="H197" s="25">
        <v>4.2179999999999893</v>
      </c>
      <c r="I197" s="20">
        <f t="shared" si="7"/>
        <v>34.507999999999996</v>
      </c>
      <c r="J197" s="52">
        <f t="shared" si="8"/>
        <v>0.87776747420887935</v>
      </c>
      <c r="L197"/>
    </row>
    <row r="198" spans="1:12" x14ac:dyDescent="0.3">
      <c r="A198" s="16" t="s">
        <v>21</v>
      </c>
      <c r="B198" s="16">
        <v>11</v>
      </c>
      <c r="C198">
        <v>15</v>
      </c>
      <c r="D198" s="18" t="s">
        <v>213</v>
      </c>
      <c r="E198" s="22" t="s">
        <v>259</v>
      </c>
      <c r="F198">
        <v>388.44600000000003</v>
      </c>
      <c r="G198" s="23">
        <v>49.192000000000007</v>
      </c>
      <c r="H198" s="23">
        <v>6.3079999999999927</v>
      </c>
      <c r="I198" s="20">
        <f t="shared" si="7"/>
        <v>55.5</v>
      </c>
      <c r="J198" s="52">
        <f t="shared" si="8"/>
        <v>0.88634234234234244</v>
      </c>
      <c r="L198"/>
    </row>
    <row r="199" spans="1:12" x14ac:dyDescent="0.3">
      <c r="A199" s="24" t="s">
        <v>16</v>
      </c>
      <c r="B199" s="24">
        <v>8</v>
      </c>
      <c r="C199">
        <v>7</v>
      </c>
      <c r="D199" s="22" t="s">
        <v>214</v>
      </c>
      <c r="E199" s="22" t="s">
        <v>261</v>
      </c>
      <c r="F199">
        <v>1038.6500000000001</v>
      </c>
      <c r="G199" s="23">
        <v>25.564000000000078</v>
      </c>
      <c r="H199" s="23">
        <v>2.9459999999999127</v>
      </c>
      <c r="I199" s="20">
        <f t="shared" si="7"/>
        <v>28.509999999999991</v>
      </c>
      <c r="J199" s="52">
        <f t="shared" si="8"/>
        <v>0.89666783584707421</v>
      </c>
      <c r="L199"/>
    </row>
    <row r="200" spans="1:12" x14ac:dyDescent="0.3">
      <c r="A200" s="16" t="s">
        <v>59</v>
      </c>
      <c r="B200" s="16">
        <v>7</v>
      </c>
      <c r="C200">
        <v>11</v>
      </c>
      <c r="D200" s="18" t="s">
        <v>215</v>
      </c>
      <c r="E200" s="66" t="s">
        <v>261</v>
      </c>
      <c r="F200">
        <v>119.011</v>
      </c>
      <c r="G200" s="23">
        <v>20.210999999999999</v>
      </c>
      <c r="H200" s="23">
        <v>2.3000000000000114</v>
      </c>
      <c r="I200" s="20">
        <f t="shared" si="7"/>
        <v>22.51100000000001</v>
      </c>
      <c r="J200" s="52">
        <f t="shared" si="8"/>
        <v>0.89782772866598504</v>
      </c>
      <c r="L200"/>
    </row>
    <row r="201" spans="1:12" x14ac:dyDescent="0.3">
      <c r="A201" s="16" t="s">
        <v>12</v>
      </c>
      <c r="B201" s="16">
        <v>3</v>
      </c>
      <c r="C201">
        <v>2</v>
      </c>
      <c r="D201" s="18" t="s">
        <v>216</v>
      </c>
      <c r="E201" s="22" t="s">
        <v>264</v>
      </c>
      <c r="F201" s="22">
        <v>134.773</v>
      </c>
      <c r="G201" s="32">
        <v>35.545999999999992</v>
      </c>
      <c r="H201" s="53">
        <v>3.9699999999999989</v>
      </c>
      <c r="I201" s="20">
        <f t="shared" si="7"/>
        <v>39.515999999999991</v>
      </c>
      <c r="J201" s="52">
        <f t="shared" si="8"/>
        <v>0.8995343658265007</v>
      </c>
      <c r="L201"/>
    </row>
    <row r="202" spans="1:12" x14ac:dyDescent="0.3">
      <c r="A202" s="16" t="s">
        <v>14</v>
      </c>
      <c r="B202" s="16">
        <v>13</v>
      </c>
      <c r="C202">
        <v>15</v>
      </c>
      <c r="D202" s="18" t="s">
        <v>217</v>
      </c>
      <c r="E202" s="18" t="s">
        <v>258</v>
      </c>
      <c r="F202">
        <v>936.12699999999995</v>
      </c>
      <c r="G202" s="23">
        <v>28.366999999999962</v>
      </c>
      <c r="H202" s="23">
        <v>3.1340000000000146</v>
      </c>
      <c r="I202" s="20">
        <f t="shared" si="7"/>
        <v>31.500999999999976</v>
      </c>
      <c r="J202" s="21">
        <f t="shared" si="8"/>
        <v>0.90051109488587611</v>
      </c>
      <c r="L202"/>
    </row>
    <row r="203" spans="1:12" x14ac:dyDescent="0.3">
      <c r="A203" s="16" t="s">
        <v>31</v>
      </c>
      <c r="B203" s="16">
        <v>15</v>
      </c>
      <c r="C203">
        <v>7</v>
      </c>
      <c r="D203" s="18" t="s">
        <v>218</v>
      </c>
      <c r="E203" s="22" t="s">
        <v>261</v>
      </c>
      <c r="F203">
        <v>936.29700000000003</v>
      </c>
      <c r="G203" s="23">
        <v>45.163999999999987</v>
      </c>
      <c r="H203" s="23">
        <v>4.8579999999999472</v>
      </c>
      <c r="I203" s="20">
        <f t="shared" si="7"/>
        <v>50.021999999999935</v>
      </c>
      <c r="J203" s="21">
        <f t="shared" si="8"/>
        <v>0.90288273159809773</v>
      </c>
      <c r="L203"/>
    </row>
    <row r="204" spans="1:12" x14ac:dyDescent="0.3">
      <c r="A204" s="16" t="s">
        <v>59</v>
      </c>
      <c r="B204" s="16">
        <v>10</v>
      </c>
      <c r="C204">
        <v>4</v>
      </c>
      <c r="D204" s="18" t="s">
        <v>219</v>
      </c>
      <c r="E204" s="66" t="s">
        <v>259</v>
      </c>
      <c r="F204" s="22">
        <v>595.05899999999997</v>
      </c>
      <c r="G204" s="25">
        <v>40.666999999999916</v>
      </c>
      <c r="H204" s="25">
        <v>4.3450000000000273</v>
      </c>
      <c r="I204" s="20">
        <f t="shared" si="7"/>
        <v>45.011999999999944</v>
      </c>
      <c r="J204" s="21">
        <f t="shared" si="8"/>
        <v>0.90347018572824955</v>
      </c>
      <c r="L204"/>
    </row>
    <row r="205" spans="1:12" x14ac:dyDescent="0.3">
      <c r="A205" s="16" t="s">
        <v>23</v>
      </c>
      <c r="B205" s="16">
        <v>9</v>
      </c>
      <c r="C205">
        <v>13</v>
      </c>
      <c r="D205" s="22" t="s">
        <v>220</v>
      </c>
      <c r="E205" s="22" t="s">
        <v>259</v>
      </c>
      <c r="F205">
        <v>742.54899999999998</v>
      </c>
      <c r="G205" s="23">
        <v>7.6989999999999554</v>
      </c>
      <c r="H205" s="23">
        <v>0.80200000000002092</v>
      </c>
      <c r="I205" s="20">
        <f t="shared" si="7"/>
        <v>8.5009999999999764</v>
      </c>
      <c r="J205" s="21">
        <f t="shared" si="8"/>
        <v>0.90565815786377801</v>
      </c>
      <c r="L205"/>
    </row>
    <row r="206" spans="1:12" x14ac:dyDescent="0.3">
      <c r="A206" s="16" t="s">
        <v>14</v>
      </c>
      <c r="B206" s="16">
        <v>11</v>
      </c>
      <c r="C206">
        <v>11</v>
      </c>
      <c r="D206" s="22" t="s">
        <v>221</v>
      </c>
      <c r="E206" s="22" t="s">
        <v>261</v>
      </c>
      <c r="F206">
        <v>178.69499999999999</v>
      </c>
      <c r="G206" s="23">
        <v>32.662000000000006</v>
      </c>
      <c r="H206" s="23">
        <v>3.3559999999999945</v>
      </c>
      <c r="I206" s="20">
        <f t="shared" si="7"/>
        <v>36.018000000000001</v>
      </c>
      <c r="J206" s="21">
        <f t="shared" si="8"/>
        <v>0.90682436559498047</v>
      </c>
      <c r="L206"/>
    </row>
    <row r="207" spans="1:12" x14ac:dyDescent="0.3">
      <c r="A207" s="16" t="s">
        <v>31</v>
      </c>
      <c r="B207" s="16">
        <v>16</v>
      </c>
      <c r="C207">
        <v>12</v>
      </c>
      <c r="D207" s="18" t="s">
        <v>222</v>
      </c>
      <c r="E207" s="22" t="s">
        <v>264</v>
      </c>
      <c r="F207">
        <v>321.95999999999998</v>
      </c>
      <c r="G207" s="23">
        <v>54.456999999999994</v>
      </c>
      <c r="H207" s="23">
        <v>5.5699999999999932</v>
      </c>
      <c r="I207" s="20">
        <f t="shared" si="7"/>
        <v>60.026999999999987</v>
      </c>
      <c r="J207" s="21">
        <f t="shared" si="8"/>
        <v>0.90720842287637238</v>
      </c>
      <c r="L207"/>
    </row>
    <row r="208" spans="1:12" x14ac:dyDescent="0.3">
      <c r="A208" s="16" t="s">
        <v>14</v>
      </c>
      <c r="B208" s="16">
        <v>3</v>
      </c>
      <c r="C208">
        <v>2</v>
      </c>
      <c r="D208" s="22" t="s">
        <v>223</v>
      </c>
      <c r="E208" s="22" t="s">
        <v>257</v>
      </c>
      <c r="F208" s="54">
        <v>12.824999999999999</v>
      </c>
      <c r="G208" s="32">
        <v>45.448000000000008</v>
      </c>
      <c r="H208" s="32">
        <v>4.5719999999999992</v>
      </c>
      <c r="I208" s="20">
        <f t="shared" si="7"/>
        <v>50.02000000000001</v>
      </c>
      <c r="J208" s="21">
        <f t="shared" si="8"/>
        <v>0.90859656137544975</v>
      </c>
      <c r="L208"/>
    </row>
    <row r="209" spans="1:12" x14ac:dyDescent="0.3">
      <c r="A209" s="16" t="s">
        <v>23</v>
      </c>
      <c r="B209" s="16">
        <v>4</v>
      </c>
      <c r="C209">
        <v>8</v>
      </c>
      <c r="D209" s="22" t="s">
        <v>224</v>
      </c>
      <c r="E209" s="22" t="s">
        <v>258</v>
      </c>
      <c r="F209">
        <v>325.38900000000001</v>
      </c>
      <c r="G209" s="23">
        <v>27.888000000000034</v>
      </c>
      <c r="H209" s="23">
        <v>2.6370000000000005</v>
      </c>
      <c r="I209" s="20">
        <f t="shared" si="7"/>
        <v>30.525000000000034</v>
      </c>
      <c r="J209" s="21">
        <f t="shared" si="8"/>
        <v>0.91361179361179368</v>
      </c>
      <c r="L209"/>
    </row>
    <row r="210" spans="1:12" x14ac:dyDescent="0.3">
      <c r="A210" s="16" t="s">
        <v>21</v>
      </c>
      <c r="B210" s="16">
        <v>7</v>
      </c>
      <c r="C210">
        <v>4</v>
      </c>
      <c r="D210" s="18" t="s">
        <v>225</v>
      </c>
      <c r="E210" s="22" t="s">
        <v>259</v>
      </c>
      <c r="F210" s="22">
        <v>276.12599999999998</v>
      </c>
      <c r="G210" s="25">
        <v>35.313999999999965</v>
      </c>
      <c r="H210" s="25">
        <v>3.19500000000005</v>
      </c>
      <c r="I210" s="20">
        <f t="shared" si="7"/>
        <v>38.509000000000015</v>
      </c>
      <c r="J210" s="21">
        <f t="shared" si="8"/>
        <v>0.9170323820405607</v>
      </c>
      <c r="L210"/>
    </row>
    <row r="211" spans="1:12" x14ac:dyDescent="0.3">
      <c r="A211" s="16" t="s">
        <v>21</v>
      </c>
      <c r="B211" s="16">
        <v>10</v>
      </c>
      <c r="C211">
        <v>15</v>
      </c>
      <c r="D211" s="18" t="s">
        <v>226</v>
      </c>
      <c r="E211" s="22" t="s">
        <v>258</v>
      </c>
      <c r="F211">
        <v>584.56600000000003</v>
      </c>
      <c r="G211" s="23">
        <v>18.810000000000059</v>
      </c>
      <c r="H211" s="23">
        <v>1.6909999999999172</v>
      </c>
      <c r="I211" s="20">
        <f t="shared" ref="I211:I240" si="9">SUM(G211:H211)</f>
        <v>20.500999999999976</v>
      </c>
      <c r="J211" s="21">
        <f t="shared" si="8"/>
        <v>0.91751621872104194</v>
      </c>
      <c r="L211"/>
    </row>
    <row r="212" spans="1:12" x14ac:dyDescent="0.3">
      <c r="A212" s="24" t="s">
        <v>16</v>
      </c>
      <c r="B212" s="24">
        <v>8</v>
      </c>
      <c r="C212">
        <v>16</v>
      </c>
      <c r="D212" s="22" t="s">
        <v>227</v>
      </c>
      <c r="E212" s="22" t="s">
        <v>261</v>
      </c>
      <c r="F212">
        <v>395.94</v>
      </c>
      <c r="G212" s="23">
        <v>11.49799999999999</v>
      </c>
      <c r="H212" s="23">
        <v>1.0090000000000146</v>
      </c>
      <c r="I212" s="20">
        <f t="shared" si="9"/>
        <v>12.507000000000005</v>
      </c>
      <c r="J212" s="21">
        <f t="shared" si="8"/>
        <v>0.91932517790037471</v>
      </c>
      <c r="L212"/>
    </row>
    <row r="213" spans="1:12" x14ac:dyDescent="0.3">
      <c r="A213" s="16" t="s">
        <v>12</v>
      </c>
      <c r="B213" s="16">
        <v>5</v>
      </c>
      <c r="C213">
        <v>10</v>
      </c>
      <c r="D213" s="18" t="s">
        <v>228</v>
      </c>
      <c r="E213" s="22" t="s">
        <v>257</v>
      </c>
      <c r="F213">
        <v>665.84199999999998</v>
      </c>
      <c r="G213" s="26">
        <v>18.423999999999978</v>
      </c>
      <c r="H213" s="26">
        <v>1.5760000000000218</v>
      </c>
      <c r="I213" s="20">
        <f t="shared" si="9"/>
        <v>20</v>
      </c>
      <c r="J213" s="21">
        <f t="shared" si="8"/>
        <v>0.92119999999999891</v>
      </c>
      <c r="L213"/>
    </row>
    <row r="214" spans="1:12" x14ac:dyDescent="0.3">
      <c r="A214" s="16" t="s">
        <v>23</v>
      </c>
      <c r="B214" s="16">
        <v>11</v>
      </c>
      <c r="C214">
        <v>11</v>
      </c>
      <c r="D214" s="22" t="s">
        <v>229</v>
      </c>
      <c r="E214" s="22" t="s">
        <v>261</v>
      </c>
      <c r="F214">
        <v>317.55700000000002</v>
      </c>
      <c r="G214" s="23">
        <v>7.8580000000000041</v>
      </c>
      <c r="H214" s="23">
        <v>0.64600000000001501</v>
      </c>
      <c r="I214" s="20">
        <f t="shared" si="9"/>
        <v>8.5040000000000191</v>
      </c>
      <c r="J214" s="21">
        <f t="shared" si="8"/>
        <v>0.92403574788334741</v>
      </c>
      <c r="L214"/>
    </row>
    <row r="215" spans="1:12" x14ac:dyDescent="0.3">
      <c r="A215" s="16" t="s">
        <v>23</v>
      </c>
      <c r="B215" s="16">
        <v>13</v>
      </c>
      <c r="C215">
        <v>9</v>
      </c>
      <c r="D215" s="22" t="s">
        <v>230</v>
      </c>
      <c r="E215" s="22" t="s">
        <v>259</v>
      </c>
      <c r="F215">
        <v>382.065</v>
      </c>
      <c r="G215" s="23">
        <v>29.199000000000012</v>
      </c>
      <c r="H215" s="23">
        <v>2.3020000000000209</v>
      </c>
      <c r="I215" s="20">
        <f t="shared" si="9"/>
        <v>31.501000000000033</v>
      </c>
      <c r="J215" s="21">
        <f t="shared" si="8"/>
        <v>0.92692295482683029</v>
      </c>
      <c r="L215"/>
    </row>
    <row r="216" spans="1:12" x14ac:dyDescent="0.3">
      <c r="A216" s="16" t="s">
        <v>18</v>
      </c>
      <c r="B216" s="16">
        <v>10</v>
      </c>
      <c r="C216">
        <v>7</v>
      </c>
      <c r="D216" s="18" t="s">
        <v>231</v>
      </c>
      <c r="E216" s="22" t="s">
        <v>257</v>
      </c>
      <c r="F216">
        <v>854.00800000000004</v>
      </c>
      <c r="G216" s="23">
        <v>21.900000000000091</v>
      </c>
      <c r="H216" s="23">
        <v>1.6100000000000136</v>
      </c>
      <c r="I216" s="20">
        <f t="shared" si="9"/>
        <v>23.510000000000105</v>
      </c>
      <c r="J216" s="21">
        <f t="shared" si="8"/>
        <v>0.93151850276478065</v>
      </c>
      <c r="L216"/>
    </row>
    <row r="217" spans="1:12" x14ac:dyDescent="0.3">
      <c r="A217" s="16" t="s">
        <v>18</v>
      </c>
      <c r="B217" s="16">
        <v>12</v>
      </c>
      <c r="C217">
        <v>12</v>
      </c>
      <c r="D217" s="18" t="s">
        <v>232</v>
      </c>
      <c r="E217" s="22" t="s">
        <v>259</v>
      </c>
      <c r="F217">
        <v>699.15599999999995</v>
      </c>
      <c r="G217" s="23">
        <v>37.112999999999943</v>
      </c>
      <c r="H217" s="23">
        <v>2.4050000000000864</v>
      </c>
      <c r="I217" s="20">
        <f t="shared" si="9"/>
        <v>39.518000000000029</v>
      </c>
      <c r="J217" s="21">
        <f t="shared" si="8"/>
        <v>0.93914165696644358</v>
      </c>
      <c r="L217"/>
    </row>
    <row r="218" spans="1:12" x14ac:dyDescent="0.3">
      <c r="A218" s="16" t="s">
        <v>59</v>
      </c>
      <c r="B218" s="16">
        <v>8</v>
      </c>
      <c r="C218">
        <v>14</v>
      </c>
      <c r="D218" s="18" t="s">
        <v>233</v>
      </c>
      <c r="E218" s="66" t="s">
        <v>263</v>
      </c>
      <c r="F218">
        <v>476.29300000000001</v>
      </c>
      <c r="G218" s="23">
        <v>16.954999999999984</v>
      </c>
      <c r="H218" s="23">
        <v>1.0480000000000018</v>
      </c>
      <c r="I218" s="20">
        <f t="shared" si="9"/>
        <v>18.002999999999986</v>
      </c>
      <c r="J218" s="21">
        <f t="shared" si="8"/>
        <v>0.94178747986446687</v>
      </c>
      <c r="L218"/>
    </row>
    <row r="219" spans="1:12" x14ac:dyDescent="0.3">
      <c r="A219" s="16" t="s">
        <v>14</v>
      </c>
      <c r="B219" s="16">
        <v>13</v>
      </c>
      <c r="C219">
        <v>15</v>
      </c>
      <c r="D219" s="18" t="s">
        <v>234</v>
      </c>
      <c r="E219" s="18" t="s">
        <v>262</v>
      </c>
      <c r="F219">
        <v>195.666</v>
      </c>
      <c r="G219" s="23">
        <v>27.413999999999987</v>
      </c>
      <c r="H219" s="23">
        <v>1.5860000000000127</v>
      </c>
      <c r="I219" s="20">
        <f t="shared" si="9"/>
        <v>29</v>
      </c>
      <c r="J219" s="21">
        <f t="shared" si="8"/>
        <v>0.9453103448275858</v>
      </c>
      <c r="L219"/>
    </row>
    <row r="220" spans="1:12" x14ac:dyDescent="0.3">
      <c r="A220" s="16" t="s">
        <v>23</v>
      </c>
      <c r="B220" s="16">
        <v>6</v>
      </c>
      <c r="C220">
        <v>5</v>
      </c>
      <c r="D220" s="22" t="s">
        <v>235</v>
      </c>
      <c r="E220" s="22" t="s">
        <v>259</v>
      </c>
      <c r="F220">
        <v>160.50700000000001</v>
      </c>
      <c r="G220" s="31">
        <v>12.811000000000007</v>
      </c>
      <c r="H220" s="31">
        <v>0.69400000000001683</v>
      </c>
      <c r="I220" s="20">
        <f t="shared" si="9"/>
        <v>13.505000000000024</v>
      </c>
      <c r="J220" s="21">
        <f t="shared" si="8"/>
        <v>0.94861162532395293</v>
      </c>
      <c r="L220"/>
    </row>
    <row r="221" spans="1:12" x14ac:dyDescent="0.3">
      <c r="A221" s="16" t="s">
        <v>59</v>
      </c>
      <c r="B221" s="16">
        <v>7</v>
      </c>
      <c r="C221">
        <v>12</v>
      </c>
      <c r="D221" s="18" t="s">
        <v>236</v>
      </c>
      <c r="E221" s="66" t="s">
        <v>261</v>
      </c>
      <c r="F221">
        <v>392.12</v>
      </c>
      <c r="G221" s="23">
        <v>15.703000000000031</v>
      </c>
      <c r="H221" s="23">
        <v>0.80399999999997362</v>
      </c>
      <c r="I221" s="20">
        <f t="shared" si="9"/>
        <v>16.507000000000005</v>
      </c>
      <c r="J221" s="21">
        <f t="shared" si="8"/>
        <v>0.95129339068274232</v>
      </c>
      <c r="L221"/>
    </row>
    <row r="222" spans="1:12" x14ac:dyDescent="0.3">
      <c r="A222" s="16" t="s">
        <v>18</v>
      </c>
      <c r="B222" s="16">
        <v>12</v>
      </c>
      <c r="C222">
        <v>15</v>
      </c>
      <c r="D222" s="18" t="s">
        <v>237</v>
      </c>
      <c r="E222" s="22" t="s">
        <v>261</v>
      </c>
      <c r="F222">
        <v>866.07100000000003</v>
      </c>
      <c r="G222" s="23">
        <v>6.1889999999999645</v>
      </c>
      <c r="H222" s="23">
        <v>0.31100000000003547</v>
      </c>
      <c r="I222" s="20">
        <f t="shared" si="9"/>
        <v>6.5</v>
      </c>
      <c r="J222" s="21">
        <f t="shared" si="8"/>
        <v>0.95215384615384069</v>
      </c>
      <c r="L222"/>
    </row>
    <row r="223" spans="1:12" x14ac:dyDescent="0.3">
      <c r="A223" s="16" t="s">
        <v>12</v>
      </c>
      <c r="B223" s="16">
        <v>3</v>
      </c>
      <c r="C223">
        <v>12</v>
      </c>
      <c r="D223" s="18" t="s">
        <v>238</v>
      </c>
      <c r="E223" s="22" t="s">
        <v>259</v>
      </c>
      <c r="F223">
        <v>981.88499999999999</v>
      </c>
      <c r="G223" s="23">
        <v>6.7019999999999982</v>
      </c>
      <c r="H223" s="23">
        <v>0.30100000000004457</v>
      </c>
      <c r="I223" s="20">
        <f t="shared" si="9"/>
        <v>7.0030000000000427</v>
      </c>
      <c r="J223" s="21">
        <f t="shared" si="8"/>
        <v>0.95701842067684673</v>
      </c>
      <c r="L223"/>
    </row>
    <row r="224" spans="1:12" x14ac:dyDescent="0.3">
      <c r="A224" s="16" t="s">
        <v>14</v>
      </c>
      <c r="B224" s="16">
        <v>10</v>
      </c>
      <c r="C224">
        <v>11</v>
      </c>
      <c r="D224" s="22" t="s">
        <v>239</v>
      </c>
      <c r="E224" s="22" t="s">
        <v>259</v>
      </c>
      <c r="F224">
        <v>78.623000000000005</v>
      </c>
      <c r="G224" s="23">
        <v>20.176999999999992</v>
      </c>
      <c r="H224" s="23">
        <v>0.83400000000000318</v>
      </c>
      <c r="I224" s="20">
        <f t="shared" si="9"/>
        <v>21.010999999999996</v>
      </c>
      <c r="J224" s="21">
        <f t="shared" si="8"/>
        <v>0.96030650611584389</v>
      </c>
      <c r="L224"/>
    </row>
    <row r="225" spans="1:12" x14ac:dyDescent="0.3">
      <c r="A225" s="16" t="s">
        <v>14</v>
      </c>
      <c r="B225" s="16">
        <v>13</v>
      </c>
      <c r="C225">
        <v>12</v>
      </c>
      <c r="D225" s="18" t="s">
        <v>240</v>
      </c>
      <c r="E225" s="22" t="s">
        <v>258</v>
      </c>
      <c r="F225">
        <v>114.121</v>
      </c>
      <c r="G225" s="23">
        <v>19.829999999999998</v>
      </c>
      <c r="H225" s="23">
        <v>0.67900000000000205</v>
      </c>
      <c r="I225" s="20">
        <f t="shared" si="9"/>
        <v>20.509</v>
      </c>
      <c r="J225" s="21">
        <f t="shared" si="8"/>
        <v>0.96689258374372222</v>
      </c>
      <c r="L225"/>
    </row>
    <row r="226" spans="1:12" x14ac:dyDescent="0.3">
      <c r="A226" s="16" t="s">
        <v>12</v>
      </c>
      <c r="B226" s="16">
        <v>3</v>
      </c>
      <c r="C226">
        <v>11</v>
      </c>
      <c r="D226" s="18" t="s">
        <v>241</v>
      </c>
      <c r="E226" s="22" t="s">
        <v>259</v>
      </c>
      <c r="F226">
        <v>9.7240000000000002</v>
      </c>
      <c r="G226" s="23">
        <v>14.038</v>
      </c>
      <c r="H226" s="23">
        <v>0.47000000000000064</v>
      </c>
      <c r="I226" s="20">
        <f t="shared" si="9"/>
        <v>14.508000000000001</v>
      </c>
      <c r="J226" s="21">
        <f t="shared" si="8"/>
        <v>0.96760408050730629</v>
      </c>
      <c r="L226"/>
    </row>
    <row r="227" spans="1:12" x14ac:dyDescent="0.3">
      <c r="A227" s="16" t="s">
        <v>14</v>
      </c>
      <c r="B227" s="16">
        <v>14</v>
      </c>
      <c r="C227">
        <v>4</v>
      </c>
      <c r="D227" s="22" t="s">
        <v>242</v>
      </c>
      <c r="E227" s="22" t="s">
        <v>259</v>
      </c>
      <c r="F227" s="22">
        <v>615.274</v>
      </c>
      <c r="G227" s="25">
        <v>4.36699999999996</v>
      </c>
      <c r="H227" s="25">
        <v>0.13400000000001455</v>
      </c>
      <c r="I227" s="20">
        <f t="shared" si="9"/>
        <v>4.5009999999999746</v>
      </c>
      <c r="J227" s="21">
        <f t="shared" si="8"/>
        <v>0.97022883803598858</v>
      </c>
      <c r="L227"/>
    </row>
    <row r="228" spans="1:12" x14ac:dyDescent="0.3">
      <c r="A228" s="16" t="s">
        <v>18</v>
      </c>
      <c r="B228" s="16">
        <v>12</v>
      </c>
      <c r="C228">
        <v>7</v>
      </c>
      <c r="D228" s="18" t="s">
        <v>243</v>
      </c>
      <c r="E228" s="22" t="s">
        <v>258</v>
      </c>
      <c r="F228">
        <v>42.868000000000002</v>
      </c>
      <c r="G228" s="23">
        <v>13.606000000000002</v>
      </c>
      <c r="H228" s="23">
        <v>0.39999999999999858</v>
      </c>
      <c r="I228" s="20">
        <f t="shared" si="9"/>
        <v>14.006</v>
      </c>
      <c r="J228" s="21">
        <f t="shared" si="8"/>
        <v>0.97144081108096536</v>
      </c>
      <c r="L228"/>
    </row>
    <row r="229" spans="1:12" x14ac:dyDescent="0.3">
      <c r="A229" s="16" t="s">
        <v>21</v>
      </c>
      <c r="B229" s="16">
        <v>9</v>
      </c>
      <c r="C229">
        <v>15</v>
      </c>
      <c r="D229" s="18" t="s">
        <v>244</v>
      </c>
      <c r="E229" s="22" t="s">
        <v>259</v>
      </c>
      <c r="F229">
        <v>815.30799999999999</v>
      </c>
      <c r="G229" s="23">
        <v>39.451999999999998</v>
      </c>
      <c r="H229" s="23">
        <v>1.0489999999999782</v>
      </c>
      <c r="I229" s="20">
        <f t="shared" si="9"/>
        <v>40.500999999999976</v>
      </c>
      <c r="J229" s="21">
        <f t="shared" si="8"/>
        <v>0.97409940495296465</v>
      </c>
      <c r="L229"/>
    </row>
    <row r="230" spans="1:12" x14ac:dyDescent="0.3">
      <c r="A230" s="16" t="s">
        <v>21</v>
      </c>
      <c r="B230" s="16">
        <v>12</v>
      </c>
      <c r="C230">
        <v>4</v>
      </c>
      <c r="D230" s="18" t="s">
        <v>245</v>
      </c>
      <c r="E230" s="22" t="s">
        <v>257</v>
      </c>
      <c r="F230" s="22">
        <v>175.114</v>
      </c>
      <c r="G230" s="25">
        <v>7.820999999999998</v>
      </c>
      <c r="H230" s="25">
        <v>0.18099999999998317</v>
      </c>
      <c r="I230" s="20">
        <f t="shared" si="9"/>
        <v>8.0019999999999811</v>
      </c>
      <c r="J230" s="21">
        <f t="shared" si="8"/>
        <v>0.97738065483629299</v>
      </c>
      <c r="L230"/>
    </row>
    <row r="231" spans="1:12" x14ac:dyDescent="0.3">
      <c r="A231" s="16" t="s">
        <v>12</v>
      </c>
      <c r="B231" s="16">
        <v>3</v>
      </c>
      <c r="C231">
        <v>12</v>
      </c>
      <c r="D231" s="18" t="s">
        <v>246</v>
      </c>
      <c r="E231" s="22" t="s">
        <v>258</v>
      </c>
      <c r="F231">
        <v>700.70100000000002</v>
      </c>
      <c r="G231" s="23">
        <v>38.658000000000015</v>
      </c>
      <c r="H231" s="23">
        <v>0.86000000000001364</v>
      </c>
      <c r="I231" s="20">
        <f t="shared" si="9"/>
        <v>39.518000000000029</v>
      </c>
      <c r="J231" s="21">
        <f t="shared" si="8"/>
        <v>0.97823776506908211</v>
      </c>
      <c r="L231"/>
    </row>
    <row r="232" spans="1:12" x14ac:dyDescent="0.3">
      <c r="A232" s="16" t="s">
        <v>21</v>
      </c>
      <c r="B232" s="16">
        <v>8</v>
      </c>
      <c r="C232">
        <v>13</v>
      </c>
      <c r="D232" s="18" t="s">
        <v>247</v>
      </c>
      <c r="E232" s="22" t="s">
        <v>263</v>
      </c>
      <c r="F232">
        <v>117.672</v>
      </c>
      <c r="G232" s="23">
        <v>18.596000000000004</v>
      </c>
      <c r="H232" s="23">
        <v>0.40699999999999648</v>
      </c>
      <c r="I232" s="20">
        <f t="shared" si="9"/>
        <v>19.003</v>
      </c>
      <c r="J232" s="21">
        <f t="shared" si="8"/>
        <v>0.97858232910593079</v>
      </c>
      <c r="L232"/>
    </row>
    <row r="233" spans="1:12" x14ac:dyDescent="0.3">
      <c r="A233" s="16" t="s">
        <v>23</v>
      </c>
      <c r="B233" s="16">
        <v>13</v>
      </c>
      <c r="C233">
        <v>8</v>
      </c>
      <c r="D233" s="22" t="s">
        <v>248</v>
      </c>
      <c r="E233" s="22" t="s">
        <v>261</v>
      </c>
      <c r="F233">
        <v>158.28</v>
      </c>
      <c r="G233" s="23">
        <v>28.920999999999992</v>
      </c>
      <c r="H233" s="23">
        <v>0.60399999999998499</v>
      </c>
      <c r="I233" s="20">
        <f t="shared" si="9"/>
        <v>29.524999999999977</v>
      </c>
      <c r="J233" s="21">
        <f t="shared" si="8"/>
        <v>0.97954276037256616</v>
      </c>
      <c r="L233"/>
    </row>
    <row r="234" spans="1:12" x14ac:dyDescent="0.3">
      <c r="A234" s="16" t="s">
        <v>21</v>
      </c>
      <c r="B234" s="16">
        <v>7</v>
      </c>
      <c r="C234">
        <v>14</v>
      </c>
      <c r="D234" s="18" t="s">
        <v>249</v>
      </c>
      <c r="E234" s="22" t="s">
        <v>259</v>
      </c>
      <c r="F234">
        <v>43.13</v>
      </c>
      <c r="G234" s="23">
        <v>43.636000000000003</v>
      </c>
      <c r="H234" s="23">
        <v>0.87199999999999989</v>
      </c>
      <c r="I234" s="20">
        <f t="shared" si="9"/>
        <v>44.508000000000003</v>
      </c>
      <c r="J234" s="21">
        <f t="shared" si="8"/>
        <v>0.98040801653635301</v>
      </c>
      <c r="L234"/>
    </row>
    <row r="235" spans="1:12" x14ac:dyDescent="0.3">
      <c r="A235" s="16" t="s">
        <v>23</v>
      </c>
      <c r="B235" s="16">
        <v>3</v>
      </c>
      <c r="C235">
        <v>4</v>
      </c>
      <c r="D235" s="22" t="s">
        <v>250</v>
      </c>
      <c r="E235" s="22" t="s">
        <v>263</v>
      </c>
      <c r="F235" s="22">
        <v>1364.9280000000001</v>
      </c>
      <c r="G235" s="25">
        <v>11.328000000000202</v>
      </c>
      <c r="H235" s="25">
        <v>0.17199999999979809</v>
      </c>
      <c r="I235" s="20">
        <f t="shared" si="9"/>
        <v>11.5</v>
      </c>
      <c r="J235" s="21">
        <f t="shared" si="8"/>
        <v>0.98504347826088712</v>
      </c>
      <c r="L235"/>
    </row>
    <row r="236" spans="1:12" x14ac:dyDescent="0.3">
      <c r="A236" s="16" t="s">
        <v>31</v>
      </c>
      <c r="B236" s="16">
        <v>12</v>
      </c>
      <c r="C236">
        <v>7</v>
      </c>
      <c r="D236" s="18" t="s">
        <v>251</v>
      </c>
      <c r="E236" s="22" t="s">
        <v>261</v>
      </c>
      <c r="F236">
        <v>87</v>
      </c>
      <c r="G236" s="23">
        <v>23.222999999999999</v>
      </c>
      <c r="H236" s="23">
        <v>0.28700000000000614</v>
      </c>
      <c r="I236" s="20">
        <f t="shared" si="9"/>
        <v>23.510000000000005</v>
      </c>
      <c r="J236" s="21">
        <f t="shared" si="8"/>
        <v>0.98779242875372153</v>
      </c>
      <c r="L236"/>
    </row>
    <row r="237" spans="1:12" x14ac:dyDescent="0.3">
      <c r="A237" s="16" t="s">
        <v>12</v>
      </c>
      <c r="B237" s="16">
        <v>3</v>
      </c>
      <c r="C237">
        <v>11</v>
      </c>
      <c r="D237" s="18" t="s">
        <v>252</v>
      </c>
      <c r="E237" s="22" t="s">
        <v>259</v>
      </c>
      <c r="F237">
        <v>316.779</v>
      </c>
      <c r="G237" s="23">
        <v>16.87700000000001</v>
      </c>
      <c r="H237" s="23">
        <v>0.132000000000005</v>
      </c>
      <c r="I237" s="20">
        <f t="shared" si="9"/>
        <v>17.009000000000015</v>
      </c>
      <c r="J237" s="21">
        <f t="shared" si="8"/>
        <v>0.99223940266917487</v>
      </c>
      <c r="L237"/>
    </row>
    <row r="238" spans="1:12" x14ac:dyDescent="0.3">
      <c r="A238" s="16" t="s">
        <v>21</v>
      </c>
      <c r="B238" s="16">
        <v>9</v>
      </c>
      <c r="C238">
        <v>11</v>
      </c>
      <c r="D238" s="18" t="s">
        <v>253</v>
      </c>
      <c r="E238" s="22" t="s">
        <v>262</v>
      </c>
      <c r="F238">
        <v>234.99299999999999</v>
      </c>
      <c r="G238" s="23">
        <v>18.885999999999996</v>
      </c>
      <c r="H238" s="23">
        <v>0.12399999999999523</v>
      </c>
      <c r="I238" s="20">
        <f t="shared" si="9"/>
        <v>19.009999999999991</v>
      </c>
      <c r="J238" s="21">
        <f t="shared" si="8"/>
        <v>0.99347711730668098</v>
      </c>
      <c r="L238"/>
    </row>
    <row r="239" spans="1:12" x14ac:dyDescent="0.3">
      <c r="A239" s="16" t="s">
        <v>59</v>
      </c>
      <c r="B239" s="16">
        <v>8</v>
      </c>
      <c r="C239">
        <v>16</v>
      </c>
      <c r="D239" s="22" t="s">
        <v>254</v>
      </c>
      <c r="E239" s="66" t="s">
        <v>257</v>
      </c>
      <c r="F239">
        <v>799.22900000000004</v>
      </c>
      <c r="G239" s="23">
        <v>18.430999999999926</v>
      </c>
      <c r="H239" s="23">
        <v>7.9000000000064574E-2</v>
      </c>
      <c r="I239" s="20">
        <f t="shared" si="9"/>
        <v>18.509999999999991</v>
      </c>
      <c r="J239" s="21">
        <f t="shared" si="8"/>
        <v>0.99573203673689548</v>
      </c>
      <c r="L239"/>
    </row>
    <row r="240" spans="1:12" x14ac:dyDescent="0.3">
      <c r="A240" s="55" t="s">
        <v>14</v>
      </c>
      <c r="B240" s="55">
        <v>10</v>
      </c>
      <c r="C240" s="56">
        <v>16</v>
      </c>
      <c r="D240" s="57" t="s">
        <v>255</v>
      </c>
      <c r="E240" s="57" t="s">
        <v>257</v>
      </c>
      <c r="F240" s="56">
        <v>396.95499999999998</v>
      </c>
      <c r="G240" s="58">
        <v>21.004000000000019</v>
      </c>
      <c r="H240" s="58">
        <v>5.9999999999718057E-3</v>
      </c>
      <c r="I240" s="59">
        <f t="shared" si="9"/>
        <v>21.009999999999991</v>
      </c>
      <c r="J240" s="60">
        <f t="shared" si="8"/>
        <v>0.99971442170395186</v>
      </c>
      <c r="L240"/>
    </row>
    <row r="241" spans="7:12" x14ac:dyDescent="0.3">
      <c r="G241" s="61"/>
      <c r="H241" s="61"/>
      <c r="I241" s="61"/>
      <c r="K241"/>
      <c r="L241"/>
    </row>
    <row r="242" spans="7:12" x14ac:dyDescent="0.3">
      <c r="G242" s="62"/>
      <c r="H242" s="62"/>
      <c r="I242" s="32"/>
      <c r="K242"/>
      <c r="L242"/>
    </row>
    <row r="243" spans="7:12" x14ac:dyDescent="0.3">
      <c r="G243" s="62"/>
      <c r="H243" s="62"/>
      <c r="I243" s="62"/>
      <c r="K243"/>
      <c r="L243"/>
    </row>
    <row r="244" spans="7:12" x14ac:dyDescent="0.3">
      <c r="G244" s="61"/>
      <c r="H244" s="61"/>
      <c r="I244" s="61"/>
      <c r="K244"/>
      <c r="L244"/>
    </row>
    <row r="245" spans="7:12" x14ac:dyDescent="0.3">
      <c r="G245" s="61"/>
      <c r="H245" s="61"/>
      <c r="I245" s="61"/>
      <c r="K245"/>
      <c r="L245"/>
    </row>
    <row r="246" spans="7:12" x14ac:dyDescent="0.3">
      <c r="G246" s="62"/>
      <c r="H246" s="62"/>
      <c r="I246" s="62"/>
      <c r="K246"/>
      <c r="L246"/>
    </row>
    <row r="247" spans="7:12" x14ac:dyDescent="0.3">
      <c r="G247" s="61"/>
      <c r="H247" s="61"/>
      <c r="I247" s="61"/>
      <c r="K247"/>
      <c r="L247"/>
    </row>
    <row r="248" spans="7:12" x14ac:dyDescent="0.3">
      <c r="G248" s="62"/>
      <c r="H248" s="62"/>
      <c r="I248" s="62"/>
      <c r="K248"/>
      <c r="L248"/>
    </row>
    <row r="249" spans="7:12" x14ac:dyDescent="0.3">
      <c r="G249" s="62"/>
      <c r="H249" s="62"/>
      <c r="I249" s="62"/>
      <c r="K249"/>
      <c r="L249"/>
    </row>
    <row r="250" spans="7:12" x14ac:dyDescent="0.3">
      <c r="G250" s="61"/>
      <c r="H250" s="61"/>
      <c r="I250" s="61"/>
      <c r="K250"/>
      <c r="L250"/>
    </row>
    <row r="251" spans="7:12" x14ac:dyDescent="0.3">
      <c r="G251" s="61"/>
      <c r="H251" s="61"/>
      <c r="I251" s="61"/>
      <c r="K251"/>
      <c r="L251"/>
    </row>
    <row r="252" spans="7:12" x14ac:dyDescent="0.3">
      <c r="G252" s="62"/>
      <c r="H252" s="62"/>
      <c r="I252" s="62"/>
    </row>
    <row r="253" spans="7:12" x14ac:dyDescent="0.3">
      <c r="G253" s="62"/>
      <c r="H253" s="62"/>
      <c r="I253" s="62"/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 </dc:creator>
  <cp:lastModifiedBy>Alan Herr</cp:lastModifiedBy>
  <dcterms:created xsi:type="dcterms:W3CDTF">2015-01-08T00:51:13Z</dcterms:created>
  <dcterms:modified xsi:type="dcterms:W3CDTF">2015-02-13T02:12:19Z</dcterms:modified>
</cp:coreProperties>
</file>