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9584" yWindow="0" windowWidth="30756" windowHeight="12504"/>
  </bookViews>
  <sheets>
    <sheet name="Sheet 1" sheetId="56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69" i="56" l="1"/>
  <c r="L70" i="56"/>
  <c r="L71" i="56"/>
  <c r="L72" i="56"/>
  <c r="L73" i="56"/>
  <c r="L74" i="56"/>
  <c r="L75" i="56"/>
  <c r="L76" i="56"/>
  <c r="L77" i="56"/>
  <c r="L78" i="56"/>
  <c r="L68" i="56"/>
  <c r="D69" i="56"/>
  <c r="D70" i="56"/>
  <c r="D71" i="56"/>
  <c r="D72" i="56"/>
  <c r="D73" i="56"/>
  <c r="D74" i="56"/>
  <c r="D75" i="56"/>
  <c r="D76" i="56"/>
  <c r="D77" i="56"/>
  <c r="D78" i="56"/>
  <c r="D68" i="56"/>
  <c r="E69" i="56"/>
  <c r="E70" i="56"/>
  <c r="E71" i="56"/>
  <c r="E72" i="56"/>
  <c r="E73" i="56"/>
  <c r="E74" i="56"/>
  <c r="E75" i="56"/>
  <c r="E76" i="56"/>
  <c r="E77" i="56"/>
  <c r="E78" i="56"/>
  <c r="E68" i="56"/>
  <c r="M78" i="56"/>
  <c r="M77" i="56"/>
  <c r="M76" i="56"/>
  <c r="M75" i="56"/>
  <c r="M74" i="56"/>
  <c r="M73" i="56"/>
  <c r="M72" i="56"/>
  <c r="M71" i="56"/>
  <c r="M70" i="56"/>
  <c r="M69" i="56"/>
  <c r="M68" i="56"/>
  <c r="M80" i="56"/>
  <c r="L80" i="56"/>
  <c r="F68" i="56"/>
  <c r="H68" i="56"/>
  <c r="K68" i="56"/>
  <c r="F69" i="56"/>
  <c r="H69" i="56"/>
  <c r="K69" i="56"/>
  <c r="F70" i="56"/>
  <c r="H70" i="56"/>
  <c r="K70" i="56"/>
  <c r="F71" i="56"/>
  <c r="H71" i="56"/>
  <c r="K71" i="56"/>
  <c r="F72" i="56"/>
  <c r="H72" i="56"/>
  <c r="K72" i="56"/>
  <c r="F73" i="56"/>
  <c r="H73" i="56"/>
  <c r="K73" i="56"/>
  <c r="F74" i="56"/>
  <c r="H74" i="56"/>
  <c r="K74" i="56"/>
  <c r="F75" i="56"/>
  <c r="H75" i="56"/>
  <c r="K75" i="56"/>
  <c r="F76" i="56"/>
  <c r="H76" i="56"/>
  <c r="K76" i="56"/>
  <c r="F77" i="56"/>
  <c r="H77" i="56"/>
  <c r="K77" i="56"/>
  <c r="F78" i="56"/>
  <c r="H78" i="56"/>
  <c r="K78" i="56"/>
  <c r="K80" i="56"/>
  <c r="I68" i="56"/>
  <c r="I69" i="56"/>
  <c r="I70" i="56"/>
  <c r="I71" i="56"/>
  <c r="I72" i="56"/>
  <c r="I73" i="56"/>
  <c r="I74" i="56"/>
  <c r="I75" i="56"/>
  <c r="I76" i="56"/>
  <c r="I77" i="56"/>
  <c r="I78" i="56"/>
  <c r="I80" i="56"/>
  <c r="G68" i="56"/>
  <c r="G69" i="56"/>
  <c r="G70" i="56"/>
  <c r="G71" i="56"/>
  <c r="G72" i="56"/>
  <c r="G73" i="56"/>
  <c r="G74" i="56"/>
  <c r="G75" i="56"/>
  <c r="G76" i="56"/>
  <c r="G77" i="56"/>
  <c r="G78" i="56"/>
  <c r="G80" i="56"/>
  <c r="E80" i="56"/>
  <c r="C68" i="56"/>
  <c r="C69" i="56"/>
  <c r="C70" i="56"/>
  <c r="C71" i="56"/>
  <c r="C72" i="56"/>
  <c r="C73" i="56"/>
  <c r="C74" i="56"/>
  <c r="C75" i="56"/>
  <c r="C76" i="56"/>
  <c r="C77" i="56"/>
  <c r="C78" i="56"/>
  <c r="C80" i="56"/>
  <c r="J78" i="56"/>
  <c r="B78" i="56"/>
  <c r="J77" i="56"/>
  <c r="B77" i="56"/>
  <c r="J76" i="56"/>
  <c r="B76" i="56"/>
  <c r="J75" i="56"/>
  <c r="B75" i="56"/>
  <c r="J74" i="56"/>
  <c r="B74" i="56"/>
  <c r="J73" i="56"/>
  <c r="B73" i="56"/>
  <c r="J72" i="56"/>
  <c r="B72" i="56"/>
  <c r="J71" i="56"/>
  <c r="B71" i="56"/>
  <c r="J70" i="56"/>
  <c r="B70" i="56"/>
  <c r="J69" i="56"/>
  <c r="B69" i="56"/>
  <c r="J68" i="56"/>
  <c r="B68" i="56"/>
</calcChain>
</file>

<file path=xl/sharedStrings.xml><?xml version="1.0" encoding="utf-8"?>
<sst xmlns="http://schemas.openxmlformats.org/spreadsheetml/2006/main" count="52" uniqueCount="40">
  <si>
    <t xml:space="preserve"> </t>
  </si>
  <si>
    <t>Lineage</t>
  </si>
  <si>
    <t>rounded</t>
  </si>
  <si>
    <t>Mutation rate</t>
  </si>
  <si>
    <t>Cell Division</t>
  </si>
  <si>
    <t>Contribution</t>
  </si>
  <si>
    <r>
      <rPr>
        <b/>
        <i/>
        <sz val="12"/>
        <color theme="1"/>
        <rFont val="Calibri"/>
        <family val="2"/>
        <scheme val="minor"/>
      </rPr>
      <t>k</t>
    </r>
    <r>
      <rPr>
        <b/>
        <sz val="12"/>
        <color theme="1"/>
        <rFont val="Calibri"/>
        <family val="2"/>
        <scheme val="minor"/>
      </rPr>
      <t>=</t>
    </r>
  </si>
  <si>
    <t>Total cell divisions</t>
  </si>
  <si>
    <r>
      <rPr>
        <b/>
        <i/>
        <sz val="12"/>
        <color theme="1"/>
        <rFont val="Calibri"/>
        <family val="2"/>
        <scheme val="minor"/>
      </rPr>
      <t>k</t>
    </r>
    <r>
      <rPr>
        <b/>
        <sz val="12"/>
        <color theme="1"/>
        <rFont val="Calibri"/>
        <family val="2"/>
        <scheme val="minor"/>
      </rPr>
      <t xml:space="preserve"> mutations</t>
    </r>
  </si>
  <si>
    <t>B</t>
  </si>
  <si>
    <t>D</t>
  </si>
  <si>
    <t>E</t>
  </si>
  <si>
    <t>G1</t>
  </si>
  <si>
    <t>G2</t>
  </si>
  <si>
    <t>H</t>
  </si>
  <si>
    <t>C</t>
  </si>
  <si>
    <t>F</t>
  </si>
  <si>
    <r>
      <t xml:space="preserve">Predicted total number of divisions with </t>
    </r>
    <r>
      <rPr>
        <b/>
        <i/>
        <sz val="26"/>
        <color theme="1"/>
        <rFont val="Calibri"/>
        <family val="2"/>
        <scheme val="minor"/>
      </rPr>
      <t>k</t>
    </r>
    <r>
      <rPr>
        <b/>
        <sz val="26"/>
        <color theme="1"/>
        <rFont val="Calibri"/>
        <family val="2"/>
        <scheme val="minor"/>
      </rPr>
      <t xml:space="preserve"> mutations from different Poisson models</t>
    </r>
  </si>
  <si>
    <r>
      <t xml:space="preserve">Predicted number of divisions with </t>
    </r>
    <r>
      <rPr>
        <b/>
        <i/>
        <sz val="26"/>
        <rFont val="Calibri"/>
        <family val="2"/>
        <scheme val="minor"/>
      </rPr>
      <t>k</t>
    </r>
    <r>
      <rPr>
        <b/>
        <sz val="26"/>
        <rFont val="Calibri"/>
        <family val="2"/>
        <scheme val="minor"/>
      </rPr>
      <t xml:space="preserve"> mutations at different mutation rates.</t>
    </r>
  </si>
  <si>
    <t>Actual mutation counts of individual cell divisions.</t>
  </si>
  <si>
    <t>Average</t>
  </si>
  <si>
    <t>Size of sequenced genome (bp)</t>
  </si>
  <si>
    <t>Number of divisions scored</t>
  </si>
  <si>
    <r>
      <t xml:space="preserve">where μ is the mutation rate in bold to the left, G is the size of the sequenced genome of the lineage (above each column), </t>
    </r>
    <r>
      <rPr>
        <i/>
        <sz val="14"/>
        <color theme="1"/>
        <rFont val="Calibri"/>
        <family val="2"/>
        <scheme val="minor"/>
      </rPr>
      <t>e</t>
    </r>
    <r>
      <rPr>
        <sz val="14"/>
        <color theme="1"/>
        <rFont val="Calibri"/>
        <family val="2"/>
        <scheme val="minor"/>
      </rPr>
      <t xml:space="preserve"> is the base of the natural logarithm, and </t>
    </r>
    <r>
      <rPr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is the number of mutations per cell division.</t>
    </r>
  </si>
  <si>
    <t>Combined</t>
  </si>
  <si>
    <t xml:space="preserve">We then combined these two sets of values assuming cells with a mutation rate of 4.0e-8/bp contributed 35% and cells with a mutation rate of 4.0e-7bp contributed 65%. </t>
  </si>
  <si>
    <r>
      <rPr>
        <vertAlign val="superscript"/>
        <sz val="14"/>
        <color theme="1"/>
        <rFont val="Calibri"/>
        <family val="2"/>
        <scheme val="minor"/>
      </rPr>
      <t>c</t>
    </r>
    <r>
      <rPr>
        <sz val="14"/>
        <color theme="1"/>
        <rFont val="Calibri"/>
        <family val="2"/>
        <scheme val="minor"/>
      </rPr>
      <t xml:space="preserve">The Summed Two-Poisson Model was obtained in two steps.  We first summed the predicted number of divisions with </t>
    </r>
    <r>
      <rPr>
        <i/>
        <sz val="14"/>
        <color theme="1"/>
        <rFont val="Calibri"/>
        <family val="2"/>
        <scheme val="minor"/>
      </rPr>
      <t xml:space="preserve">k </t>
    </r>
    <r>
      <rPr>
        <sz val="14"/>
        <color theme="1"/>
        <rFont val="Calibri"/>
        <family val="2"/>
        <scheme val="minor"/>
      </rPr>
      <t xml:space="preserve">mutations from all lineages at mutation rates of 4.0e-8/bp and 4.0e-7/bp as determined in the preceding table.  </t>
    </r>
  </si>
  <si>
    <r>
      <rPr>
        <vertAlign val="superscript"/>
        <sz val="14"/>
        <color theme="1"/>
        <rFont val="Calibri"/>
        <family val="2"/>
        <scheme val="minor"/>
      </rPr>
      <t>d</t>
    </r>
    <r>
      <rPr>
        <sz val="14"/>
        <color theme="1"/>
        <rFont val="Calibri"/>
        <family val="2"/>
        <scheme val="minor"/>
      </rPr>
      <t xml:space="preserve">The Simplified Two-Poisson Model was obtained in two steps.  We first calculated the predicted number of divisions with k mutations for the whole experiment assuming mutation rates of 4e-8/bp and 4e-7/bp using the average genome size, 85 divisions as outlined in the preceding table.  </t>
    </r>
  </si>
  <si>
    <r>
      <rPr>
        <vertAlign val="superscript"/>
        <sz val="14"/>
        <color theme="1"/>
        <rFont val="Calibri"/>
        <family val="2"/>
        <scheme val="minor"/>
      </rPr>
      <t>e</t>
    </r>
    <r>
      <rPr>
        <sz val="14"/>
        <color theme="1"/>
        <rFont val="Calibri"/>
        <family val="2"/>
        <scheme val="minor"/>
      </rPr>
      <t>The actual combined data is the actual distribution of divisions with k mutations determined from the topmost table on the page.</t>
    </r>
  </si>
  <si>
    <r>
      <t xml:space="preserve">The above predictions were made by multiplying the number of cell divisions scored in each lineage or the entire experiment (see </t>
    </r>
    <r>
      <rPr>
        <b/>
        <i/>
        <sz val="14"/>
        <color theme="1"/>
        <rFont val="Calibri"/>
        <family val="2"/>
        <scheme val="minor"/>
      </rPr>
      <t>Average</t>
    </r>
    <r>
      <rPr>
        <sz val="14"/>
        <color theme="1"/>
        <rFont val="Calibri"/>
        <family val="2"/>
        <scheme val="minor"/>
      </rPr>
      <t xml:space="preserve">) by the probability of observing </t>
    </r>
    <r>
      <rPr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mutations determined using the Poisson function:   P(k)  =  (μG)</t>
    </r>
    <r>
      <rPr>
        <vertAlign val="superscript"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>(e</t>
    </r>
    <r>
      <rPr>
        <vertAlign val="superscript"/>
        <sz val="14"/>
        <color theme="1"/>
        <rFont val="Calibri"/>
        <family val="2"/>
        <scheme val="minor"/>
      </rPr>
      <t>-μG</t>
    </r>
    <r>
      <rPr>
        <sz val="14"/>
        <color theme="1"/>
        <rFont val="Calibri"/>
        <family val="2"/>
        <scheme val="minor"/>
      </rPr>
      <t xml:space="preserve">)/k! </t>
    </r>
  </si>
  <si>
    <t>F*</t>
  </si>
  <si>
    <t>* The mutations in divisions 8 and 9 of lineage F could not be resolved due to sequencing failure of daughter 8.  Thus, the total number of cell divisions accurately scored is 85 not 87.</t>
  </si>
  <si>
    <r>
      <t>Summed Poisson Model</t>
    </r>
    <r>
      <rPr>
        <b/>
        <i/>
        <vertAlign val="superscript"/>
        <sz val="14"/>
        <color theme="1"/>
        <rFont val="Calibri"/>
        <family val="2"/>
        <scheme val="minor"/>
      </rPr>
      <t>a</t>
    </r>
  </si>
  <si>
    <r>
      <t>Simplified Poisson Model</t>
    </r>
    <r>
      <rPr>
        <b/>
        <i/>
        <vertAlign val="superscript"/>
        <sz val="14"/>
        <color theme="1"/>
        <rFont val="Calibri"/>
        <family val="2"/>
        <scheme val="minor"/>
      </rPr>
      <t>b</t>
    </r>
  </si>
  <si>
    <r>
      <t>Summed Two-Poisson Model</t>
    </r>
    <r>
      <rPr>
        <b/>
        <i/>
        <vertAlign val="superscript"/>
        <sz val="14"/>
        <color theme="1"/>
        <rFont val="Calibri"/>
        <family val="2"/>
        <scheme val="minor"/>
      </rPr>
      <t>c</t>
    </r>
  </si>
  <si>
    <r>
      <t xml:space="preserve"> Simplified Two-Poisson</t>
    </r>
    <r>
      <rPr>
        <b/>
        <i/>
        <vertAlign val="superscript"/>
        <sz val="14"/>
        <color theme="1"/>
        <rFont val="Calibri"/>
        <family val="2"/>
        <scheme val="minor"/>
      </rPr>
      <t>d</t>
    </r>
  </si>
  <si>
    <r>
      <t>Actual combined Data</t>
    </r>
    <r>
      <rPr>
        <b/>
        <i/>
        <vertAlign val="superscript"/>
        <sz val="14"/>
        <color theme="1"/>
        <rFont val="Calibri"/>
        <family val="2"/>
        <scheme val="minor"/>
      </rPr>
      <t>e</t>
    </r>
  </si>
  <si>
    <r>
      <rPr>
        <vertAlign val="superscript"/>
        <sz val="14"/>
        <color theme="1"/>
        <rFont val="Calibri"/>
        <family val="2"/>
        <scheme val="minor"/>
      </rPr>
      <t>b</t>
    </r>
    <r>
      <rPr>
        <sz val="14"/>
        <color theme="1"/>
        <rFont val="Calibri"/>
        <family val="2"/>
        <scheme val="minor"/>
      </rPr>
      <t>The Simplified Poisson Model was calculated in the preceding table (right-hand most column) using the average genome size and the total number of scored cell divisions.</t>
    </r>
  </si>
  <si>
    <t xml:space="preserve">We then combined these two sets of values assuming cells with a mutation rate of 4.0e-8/bp contributed 35% and cells with a mutation rate of 4.0e-7bp contributed 65%.  This model was used for Fig. 2B. </t>
  </si>
  <si>
    <r>
      <rPr>
        <vertAlign val="superscript"/>
        <sz val="14"/>
        <color theme="1"/>
        <rFont val="Calibri"/>
        <family val="2"/>
        <scheme val="minor"/>
      </rPr>
      <t>a</t>
    </r>
    <r>
      <rPr>
        <sz val="14"/>
        <color theme="1"/>
        <rFont val="Calibri"/>
        <family val="2"/>
        <scheme val="minor"/>
      </rPr>
      <t xml:space="preserve">The Summed Poisson Model was obtained by summing the predicted number of divisions with </t>
    </r>
    <r>
      <rPr>
        <i/>
        <sz val="14"/>
        <color theme="1"/>
        <rFont val="Calibri"/>
        <family val="2"/>
        <scheme val="minor"/>
      </rPr>
      <t>k</t>
    </r>
    <r>
      <rPr>
        <sz val="14"/>
        <color theme="1"/>
        <rFont val="Calibri"/>
        <family val="2"/>
        <scheme val="minor"/>
      </rPr>
      <t xml:space="preserve"> mutations from all lineages at a mutation rate of 2.6e-7 mutations/bp, as calculated in the preceding table.  This models was used for Fig. 2B.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</si>
</sst>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E+00"/>
    <numFmt numFmtId="165" formatCode="0.000000000"/>
    <numFmt numFmtId="166" formatCode="0.0"/>
    <numFmt numFmtId="167" formatCode="0.0E+00"/>
  </numFmts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1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i/>
      <sz val="26"/>
      <name val="Calibri"/>
      <family val="2"/>
      <scheme val="minor"/>
    </font>
    <font>
      <sz val="14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vertAlign val="superscript"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1093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6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3" fillId="0" borderId="0"/>
    <xf numFmtId="0" fontId="2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83">
    <xf numFmtId="0" fontId="0" fillId="0" borderId="0" xfId="0"/>
    <xf numFmtId="164" fontId="0" fillId="0" borderId="0" xfId="0" applyNumberFormat="1" applyFill="1"/>
    <xf numFmtId="2" fontId="0" fillId="0" borderId="0" xfId="0" applyNumberFormat="1"/>
    <xf numFmtId="2" fontId="0" fillId="0" borderId="0" xfId="0" applyNumberFormat="1" applyFill="1"/>
    <xf numFmtId="165" fontId="0" fillId="0" borderId="0" xfId="0" applyNumberFormat="1" applyFill="1"/>
    <xf numFmtId="0" fontId="9" fillId="0" borderId="0" xfId="0" applyFont="1" applyFill="1" applyBorder="1"/>
    <xf numFmtId="0" fontId="0" fillId="0" borderId="0" xfId="0" applyAlignment="1">
      <alignment horizontal="right"/>
    </xf>
    <xf numFmtId="166" fontId="0" fillId="0" borderId="0" xfId="0" applyNumberFormat="1" applyFill="1"/>
    <xf numFmtId="0" fontId="0" fillId="0" borderId="2" xfId="0" applyBorder="1"/>
    <xf numFmtId="1" fontId="0" fillId="0" borderId="0" xfId="0" applyNumberFormat="1" applyFill="1"/>
    <xf numFmtId="0" fontId="0" fillId="0" borderId="2" xfId="0" applyFill="1" applyBorder="1"/>
    <xf numFmtId="166" fontId="0" fillId="0" borderId="3" xfId="0" applyNumberFormat="1" applyBorder="1"/>
    <xf numFmtId="0" fontId="0" fillId="5" borderId="0" xfId="0" applyFill="1"/>
    <xf numFmtId="0" fontId="0" fillId="0" borderId="6" xfId="0" applyBorder="1"/>
    <xf numFmtId="0" fontId="9" fillId="0" borderId="0" xfId="0" applyFont="1" applyBorder="1"/>
    <xf numFmtId="166" fontId="0" fillId="0" borderId="7" xfId="0" applyNumberFormat="1" applyFill="1" applyBorder="1"/>
    <xf numFmtId="0" fontId="9" fillId="2" borderId="2" xfId="0" applyFont="1" applyFill="1" applyBorder="1"/>
    <xf numFmtId="0" fontId="0" fillId="7" borderId="0" xfId="0" applyFill="1"/>
    <xf numFmtId="0" fontId="0" fillId="0" borderId="1" xfId="0" applyBorder="1"/>
    <xf numFmtId="0" fontId="14" fillId="6" borderId="2" xfId="0" applyFont="1" applyFill="1" applyBorder="1" applyAlignment="1">
      <alignment horizontal="right"/>
    </xf>
    <xf numFmtId="0" fontId="9" fillId="5" borderId="2" xfId="0" applyFont="1" applyFill="1" applyBorder="1" applyAlignment="1">
      <alignment horizontal="right"/>
    </xf>
    <xf numFmtId="0" fontId="9" fillId="5" borderId="0" xfId="0" applyFont="1" applyFill="1"/>
    <xf numFmtId="166" fontId="0" fillId="0" borderId="8" xfId="0" applyNumberFormat="1" applyBorder="1"/>
    <xf numFmtId="166" fontId="0" fillId="0" borderId="7" xfId="0" applyNumberFormat="1" applyBorder="1"/>
    <xf numFmtId="166" fontId="0" fillId="0" borderId="8" xfId="0" applyNumberFormat="1" applyFill="1" applyBorder="1"/>
    <xf numFmtId="1" fontId="0" fillId="0" borderId="9" xfId="0" applyNumberFormat="1" applyFill="1" applyBorder="1"/>
    <xf numFmtId="1" fontId="0" fillId="0" borderId="4" xfId="0" applyNumberFormat="1" applyFill="1" applyBorder="1"/>
    <xf numFmtId="166" fontId="0" fillId="0" borderId="3" xfId="0" applyNumberFormat="1" applyFill="1" applyBorder="1"/>
    <xf numFmtId="1" fontId="0" fillId="0" borderId="5" xfId="0" applyNumberFormat="1" applyFill="1" applyBorder="1"/>
    <xf numFmtId="0" fontId="0" fillId="0" borderId="8" xfId="0" applyBorder="1"/>
    <xf numFmtId="0" fontId="0" fillId="0" borderId="7" xfId="0" applyBorder="1"/>
    <xf numFmtId="0" fontId="0" fillId="0" borderId="3" xfId="0" applyBorder="1"/>
    <xf numFmtId="0" fontId="0" fillId="2" borderId="2" xfId="0" applyFill="1" applyBorder="1"/>
    <xf numFmtId="0" fontId="9" fillId="7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1" fontId="9" fillId="5" borderId="0" xfId="0" applyNumberFormat="1" applyFont="1" applyFill="1"/>
    <xf numFmtId="164" fontId="9" fillId="2" borderId="2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Fill="1"/>
    <xf numFmtId="2" fontId="12" fillId="0" borderId="0" xfId="0" applyNumberFormat="1" applyFont="1"/>
    <xf numFmtId="0" fontId="0" fillId="0" borderId="0" xfId="0"/>
    <xf numFmtId="0" fontId="0" fillId="0" borderId="0" xfId="0" applyBorder="1"/>
    <xf numFmtId="0" fontId="17" fillId="0" borderId="0" xfId="0" applyFont="1"/>
    <xf numFmtId="0" fontId="0" fillId="0" borderId="10" xfId="0" applyBorder="1"/>
    <xf numFmtId="2" fontId="0" fillId="0" borderId="10" xfId="0" applyNumberFormat="1" applyBorder="1"/>
    <xf numFmtId="2" fontId="0" fillId="0" borderId="10" xfId="0" applyNumberFormat="1" applyFill="1" applyBorder="1"/>
    <xf numFmtId="164" fontId="18" fillId="0" borderId="6" xfId="0" applyNumberFormat="1" applyFont="1" applyFill="1" applyBorder="1"/>
    <xf numFmtId="164" fontId="0" fillId="0" borderId="6" xfId="0" applyNumberFormat="1" applyFill="1" applyBorder="1"/>
    <xf numFmtId="0" fontId="0" fillId="5" borderId="6" xfId="0" applyFill="1" applyBorder="1"/>
    <xf numFmtId="0" fontId="0" fillId="7" borderId="6" xfId="0" applyFill="1" applyBorder="1"/>
    <xf numFmtId="0" fontId="17" fillId="0" borderId="6" xfId="0" applyFont="1" applyBorder="1"/>
    <xf numFmtId="164" fontId="9" fillId="0" borderId="6" xfId="0" applyNumberFormat="1" applyFont="1" applyFill="1" applyBorder="1" applyAlignment="1">
      <alignment horizontal="center"/>
    </xf>
    <xf numFmtId="164" fontId="14" fillId="4" borderId="6" xfId="0" applyNumberFormat="1" applyFont="1" applyFill="1" applyBorder="1" applyAlignment="1">
      <alignment horizontal="right"/>
    </xf>
    <xf numFmtId="164" fontId="14" fillId="3" borderId="6" xfId="0" applyNumberFormat="1" applyFont="1" applyFill="1" applyBorder="1" applyAlignment="1">
      <alignment horizontal="right"/>
    </xf>
    <xf numFmtId="0" fontId="14" fillId="3" borderId="6" xfId="0" applyFont="1" applyFill="1" applyBorder="1" applyAlignment="1">
      <alignment horizontal="right"/>
    </xf>
    <xf numFmtId="2" fontId="12" fillId="0" borderId="6" xfId="0" applyNumberFormat="1" applyFont="1" applyBorder="1"/>
    <xf numFmtId="0" fontId="20" fillId="0" borderId="0" xfId="0" applyFont="1"/>
    <xf numFmtId="0" fontId="20" fillId="0" borderId="10" xfId="0" applyFont="1" applyBorder="1"/>
    <xf numFmtId="0" fontId="20" fillId="0" borderId="0" xfId="0" applyFont="1" applyBorder="1"/>
    <xf numFmtId="0" fontId="0" fillId="8" borderId="2" xfId="0" applyFill="1" applyBorder="1"/>
    <xf numFmtId="0" fontId="0" fillId="8" borderId="2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0" fillId="4" borderId="0" xfId="0" applyFill="1" applyBorder="1"/>
    <xf numFmtId="0" fontId="0" fillId="4" borderId="0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8" borderId="0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2" fontId="1" fillId="0" borderId="0" xfId="0" applyNumberFormat="1" applyFont="1"/>
    <xf numFmtId="0" fontId="1" fillId="0" borderId="0" xfId="0" applyFont="1"/>
    <xf numFmtId="2" fontId="1" fillId="0" borderId="0" xfId="0" applyNumberFormat="1" applyFont="1" applyBorder="1"/>
    <xf numFmtId="2" fontId="1" fillId="0" borderId="6" xfId="0" applyNumberFormat="1" applyFont="1" applyBorder="1"/>
    <xf numFmtId="9" fontId="0" fillId="0" borderId="2" xfId="0" applyNumberFormat="1" applyBorder="1"/>
    <xf numFmtId="9" fontId="0" fillId="0" borderId="2" xfId="0" applyNumberFormat="1" applyFill="1" applyBorder="1"/>
    <xf numFmtId="167" fontId="9" fillId="6" borderId="6" xfId="0" applyNumberFormat="1" applyFont="1" applyFill="1" applyBorder="1" applyAlignment="1">
      <alignment horizontal="right"/>
    </xf>
    <xf numFmtId="167" fontId="9" fillId="4" borderId="6" xfId="0" applyNumberFormat="1" applyFont="1" applyFill="1" applyBorder="1"/>
    <xf numFmtId="167" fontId="9" fillId="3" borderId="6" xfId="0" applyNumberFormat="1" applyFont="1" applyFill="1" applyBorder="1"/>
    <xf numFmtId="0" fontId="20" fillId="0" borderId="0" xfId="0" applyFont="1" applyFill="1" applyBorder="1"/>
    <xf numFmtId="0" fontId="14" fillId="3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</cellXfs>
  <cellStyles count="10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61" builtinId="9" hidden="1"/>
    <cellStyle name="Followed Hyperlink" xfId="1062" builtinId="9" hidden="1"/>
    <cellStyle name="Followed Hyperlink" xfId="1069" builtinId="9" hidden="1"/>
    <cellStyle name="Followed Hyperlink" xfId="1070" builtinId="9" hidden="1"/>
    <cellStyle name="Followed Hyperlink" xfId="1071" builtinId="9" hidden="1"/>
    <cellStyle name="Followed Hyperlink" xfId="1072" builtinId="9" hidden="1"/>
    <cellStyle name="Followed Hyperlink" xfId="1075" builtinId="9" hidden="1"/>
    <cellStyle name="Followed Hyperlink" xfId="1076" builtinId="9" hidden="1"/>
    <cellStyle name="Followed Hyperlink" xfId="1077" builtinId="9" hidden="1"/>
    <cellStyle name="Followed Hyperlink" xfId="1078" builtinId="9" hidden="1"/>
    <cellStyle name="Followed Hyperlink" xfId="1079" builtinId="9" hidden="1"/>
    <cellStyle name="Followed Hyperlink" xfId="1080" builtinId="9" hidden="1"/>
    <cellStyle name="Followed Hyperlink" xfId="1081" builtinId="9" hidden="1"/>
    <cellStyle name="Followed Hyperlink" xfId="1082" builtinId="9" hidden="1"/>
    <cellStyle name="Followed Hyperlink" xfId="1083" builtinId="9" hidden="1"/>
    <cellStyle name="Followed Hyperlink" xfId="1084" builtinId="9" hidden="1"/>
    <cellStyle name="Followed Hyperlink" xfId="1085" builtinId="9" hidden="1"/>
    <cellStyle name="Followed Hyperlink" xfId="1086" builtinId="9" hidden="1"/>
    <cellStyle name="Followed Hyperlink" xfId="1087" builtinId="9" hidden="1"/>
    <cellStyle name="Followed Hyperlink" xfId="1088" builtinId="9" hidden="1"/>
    <cellStyle name="Followed Hyperlink" xfId="1089" builtinId="9" hidden="1"/>
    <cellStyle name="Followed Hyperlink" xfId="1090" builtinId="9" hidden="1"/>
    <cellStyle name="Followed Hyperlink" xfId="1091" builtinId="9" hidden="1"/>
    <cellStyle name="Followed Hyperlink" xfId="10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Normal" xfId="0" builtinId="0"/>
    <cellStyle name="Normal 2" xfId="947"/>
    <cellStyle name="Normal 3" xfId="1056"/>
    <cellStyle name="Normal 3 2" xfId="1074"/>
    <cellStyle name="Normal 4" xfId="1057"/>
    <cellStyle name="Normal 4 2" xfId="1059"/>
    <cellStyle name="Normal 4 2 2" xfId="1066"/>
    <cellStyle name="Normal 4 3" xfId="1063"/>
    <cellStyle name="Normal 4 4" xfId="1065"/>
    <cellStyle name="Normal 5" xfId="1058"/>
    <cellStyle name="Normal 5 2" xfId="1064"/>
    <cellStyle name="Normal 5 3" xfId="1067"/>
    <cellStyle name="Normal 6" xfId="1060"/>
    <cellStyle name="Normal 6 2" xfId="1068"/>
    <cellStyle name="Normal 6 3" xfId="107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0"/>
  <sheetViews>
    <sheetView tabSelected="1" topLeftCell="A55" zoomScale="70" zoomScaleNormal="70" zoomScalePageLayoutView="60" workbookViewId="0">
      <selection activeCell="C84" sqref="C84"/>
    </sheetView>
  </sheetViews>
  <sheetFormatPr defaultColWidth="11.19921875" defaultRowHeight="15.6" x14ac:dyDescent="0.3"/>
  <cols>
    <col min="1" max="1" width="21.796875" style="42" customWidth="1"/>
    <col min="2" max="2" width="20.19921875" style="42" customWidth="1"/>
    <col min="3" max="3" width="15.796875" style="42" customWidth="1"/>
    <col min="4" max="4" width="21.296875" style="42" customWidth="1"/>
    <col min="5" max="5" width="17.5" style="42" customWidth="1"/>
    <col min="6" max="6" width="18.19921875" style="42" customWidth="1"/>
    <col min="7" max="7" width="17.796875" style="42" customWidth="1"/>
    <col min="8" max="8" width="20.296875" style="42" customWidth="1"/>
    <col min="9" max="9" width="19.296875" style="42" customWidth="1"/>
    <col min="10" max="10" width="21.19921875" style="42" customWidth="1"/>
    <col min="11" max="11" width="22.796875" style="42" customWidth="1"/>
    <col min="12" max="12" width="21" style="42" customWidth="1"/>
    <col min="13" max="13" width="20.09765625" style="42" customWidth="1"/>
    <col min="14" max="14" width="24.69921875" style="42" customWidth="1"/>
    <col min="15" max="15" width="11.19921875" style="42"/>
    <col min="16" max="16" width="12.296875" style="42" bestFit="1" customWidth="1"/>
    <col min="17" max="16384" width="11.19921875" style="42"/>
  </cols>
  <sheetData>
    <row r="1" spans="1:9" ht="33.6" x14ac:dyDescent="0.65">
      <c r="A1" s="44" t="s">
        <v>19</v>
      </c>
    </row>
    <row r="2" spans="1:9" x14ac:dyDescent="0.3">
      <c r="A2" s="16" t="s">
        <v>1</v>
      </c>
      <c r="B2" s="38" t="s">
        <v>9</v>
      </c>
      <c r="C2" s="38" t="s">
        <v>15</v>
      </c>
      <c r="D2" s="38" t="s">
        <v>10</v>
      </c>
      <c r="E2" s="38" t="s">
        <v>11</v>
      </c>
      <c r="F2" s="38" t="s">
        <v>30</v>
      </c>
      <c r="G2" s="38" t="s">
        <v>12</v>
      </c>
      <c r="H2" s="38" t="s">
        <v>13</v>
      </c>
      <c r="I2" s="38" t="s">
        <v>14</v>
      </c>
    </row>
    <row r="3" spans="1:9" x14ac:dyDescent="0.3">
      <c r="A3" s="17" t="s">
        <v>4</v>
      </c>
    </row>
    <row r="4" spans="1:9" x14ac:dyDescent="0.3">
      <c r="A4" s="17">
        <v>3</v>
      </c>
      <c r="B4" s="42">
        <v>0</v>
      </c>
      <c r="C4" s="42">
        <v>3</v>
      </c>
      <c r="D4" s="42">
        <v>2</v>
      </c>
      <c r="E4" s="42">
        <v>2</v>
      </c>
      <c r="F4" s="42">
        <v>3</v>
      </c>
      <c r="G4" s="42">
        <v>1</v>
      </c>
      <c r="I4" s="42">
        <v>7</v>
      </c>
    </row>
    <row r="5" spans="1:9" x14ac:dyDescent="0.3">
      <c r="A5" s="17">
        <v>4</v>
      </c>
      <c r="B5" s="42">
        <v>2</v>
      </c>
      <c r="C5" s="42">
        <v>7</v>
      </c>
      <c r="D5" s="42">
        <v>2</v>
      </c>
      <c r="E5" s="42">
        <v>3</v>
      </c>
      <c r="F5" s="42">
        <v>7</v>
      </c>
      <c r="G5" s="42">
        <v>1</v>
      </c>
      <c r="I5" s="42">
        <v>0</v>
      </c>
    </row>
    <row r="6" spans="1:9" x14ac:dyDescent="0.3">
      <c r="A6" s="17">
        <v>5</v>
      </c>
      <c r="B6" s="42">
        <v>0</v>
      </c>
      <c r="C6" s="42">
        <v>6</v>
      </c>
      <c r="D6" s="42">
        <v>0</v>
      </c>
      <c r="E6" s="42">
        <v>1</v>
      </c>
      <c r="F6" s="42">
        <v>1</v>
      </c>
      <c r="G6" s="42">
        <v>0</v>
      </c>
      <c r="H6" s="42">
        <v>7</v>
      </c>
      <c r="I6" s="42">
        <v>2</v>
      </c>
    </row>
    <row r="7" spans="1:9" x14ac:dyDescent="0.3">
      <c r="A7" s="17">
        <v>6</v>
      </c>
      <c r="B7" s="42">
        <v>3</v>
      </c>
      <c r="C7" s="42">
        <v>0</v>
      </c>
      <c r="D7" s="42">
        <v>3</v>
      </c>
      <c r="E7" s="42">
        <v>6</v>
      </c>
      <c r="F7" s="42">
        <v>3</v>
      </c>
      <c r="G7" s="42">
        <v>0</v>
      </c>
      <c r="H7" s="42">
        <v>6</v>
      </c>
      <c r="I7" s="42">
        <v>0</v>
      </c>
    </row>
    <row r="8" spans="1:9" x14ac:dyDescent="0.3">
      <c r="A8" s="17">
        <v>7</v>
      </c>
      <c r="B8" s="42">
        <v>2</v>
      </c>
      <c r="C8" s="42">
        <v>0</v>
      </c>
      <c r="D8" s="42">
        <v>0</v>
      </c>
      <c r="E8" s="42">
        <v>0</v>
      </c>
      <c r="F8" s="42">
        <v>2</v>
      </c>
      <c r="G8" s="42">
        <v>3</v>
      </c>
      <c r="H8" s="42">
        <v>0</v>
      </c>
      <c r="I8" s="42">
        <v>4</v>
      </c>
    </row>
    <row r="9" spans="1:9" x14ac:dyDescent="0.3">
      <c r="A9" s="17">
        <v>8</v>
      </c>
      <c r="B9" s="42">
        <v>4</v>
      </c>
      <c r="C9" s="42">
        <v>2</v>
      </c>
      <c r="D9" s="42">
        <v>0</v>
      </c>
      <c r="E9" s="42">
        <v>0</v>
      </c>
      <c r="G9" s="42">
        <v>6</v>
      </c>
      <c r="H9" s="42">
        <v>5</v>
      </c>
      <c r="I9" s="42">
        <v>3</v>
      </c>
    </row>
    <row r="10" spans="1:9" x14ac:dyDescent="0.3">
      <c r="A10" s="17">
        <v>9</v>
      </c>
      <c r="B10" s="42">
        <v>1</v>
      </c>
      <c r="C10" s="42">
        <v>3</v>
      </c>
      <c r="D10" s="42">
        <v>1</v>
      </c>
      <c r="E10" s="42">
        <v>0</v>
      </c>
      <c r="G10" s="42">
        <v>4</v>
      </c>
      <c r="H10" s="42">
        <v>0</v>
      </c>
      <c r="I10" s="42">
        <v>4</v>
      </c>
    </row>
    <row r="11" spans="1:9" x14ac:dyDescent="0.3">
      <c r="A11" s="17">
        <v>10</v>
      </c>
      <c r="B11" s="42">
        <v>3</v>
      </c>
      <c r="C11" s="42">
        <v>4</v>
      </c>
      <c r="D11" s="42">
        <v>1</v>
      </c>
      <c r="E11" s="40">
        <v>8</v>
      </c>
      <c r="F11" s="42">
        <v>0</v>
      </c>
      <c r="G11" s="42">
        <v>5</v>
      </c>
      <c r="I11" s="42">
        <v>1</v>
      </c>
    </row>
    <row r="12" spans="1:9" x14ac:dyDescent="0.3">
      <c r="A12" s="17">
        <v>11</v>
      </c>
      <c r="B12" s="42">
        <v>4</v>
      </c>
      <c r="C12" s="42">
        <v>4</v>
      </c>
      <c r="D12" s="39">
        <v>4</v>
      </c>
      <c r="E12" s="40">
        <v>0</v>
      </c>
      <c r="F12" s="42">
        <v>5</v>
      </c>
      <c r="G12" s="42">
        <v>3</v>
      </c>
      <c r="I12" s="42">
        <v>4</v>
      </c>
    </row>
    <row r="13" spans="1:9" x14ac:dyDescent="0.3">
      <c r="A13" s="17">
        <v>12</v>
      </c>
      <c r="C13" s="42">
        <v>6</v>
      </c>
      <c r="D13" s="42">
        <v>5</v>
      </c>
      <c r="E13" s="42">
        <v>10</v>
      </c>
      <c r="F13" s="42">
        <v>2</v>
      </c>
      <c r="G13" s="42">
        <v>5</v>
      </c>
      <c r="I13" s="42">
        <v>1</v>
      </c>
    </row>
    <row r="14" spans="1:9" x14ac:dyDescent="0.3">
      <c r="A14" s="17">
        <v>13</v>
      </c>
      <c r="C14" s="42">
        <v>5</v>
      </c>
      <c r="D14" s="42">
        <v>3</v>
      </c>
      <c r="F14" s="42">
        <v>3</v>
      </c>
      <c r="G14" s="42">
        <v>4</v>
      </c>
      <c r="I14" s="42">
        <v>1</v>
      </c>
    </row>
    <row r="15" spans="1:9" x14ac:dyDescent="0.3">
      <c r="A15" s="17">
        <v>14</v>
      </c>
      <c r="C15" s="42">
        <v>1</v>
      </c>
      <c r="D15" s="42">
        <v>0</v>
      </c>
      <c r="F15" s="43">
        <v>1</v>
      </c>
      <c r="I15" s="42">
        <v>3</v>
      </c>
    </row>
    <row r="16" spans="1:9" x14ac:dyDescent="0.3">
      <c r="A16" s="17">
        <v>15</v>
      </c>
      <c r="C16" s="43">
        <v>0</v>
      </c>
      <c r="D16" s="42">
        <v>9</v>
      </c>
      <c r="F16" s="6" t="s">
        <v>0</v>
      </c>
    </row>
    <row r="17" spans="1:20" x14ac:dyDescent="0.3">
      <c r="A17" s="17">
        <v>16</v>
      </c>
      <c r="D17" s="42">
        <v>4</v>
      </c>
    </row>
    <row r="18" spans="1:20" x14ac:dyDescent="0.3">
      <c r="A18" s="17">
        <v>17</v>
      </c>
      <c r="D18" s="42">
        <v>2</v>
      </c>
    </row>
    <row r="19" spans="1:20" ht="18.600000000000001" thickBot="1" x14ac:dyDescent="0.4">
      <c r="A19" s="59" t="s">
        <v>31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</row>
    <row r="20" spans="1:20" ht="16.2" thickTop="1" x14ac:dyDescent="0.3"/>
    <row r="21" spans="1:20" ht="33.6" x14ac:dyDescent="0.65">
      <c r="A21" s="48" t="s">
        <v>18</v>
      </c>
      <c r="B21" s="13"/>
      <c r="C21" s="13"/>
      <c r="D21" s="49"/>
      <c r="E21" s="49"/>
      <c r="F21" s="49"/>
      <c r="G21" s="49"/>
      <c r="H21" s="49"/>
      <c r="I21" s="49"/>
      <c r="J21" s="49"/>
      <c r="K21" s="14"/>
      <c r="T21" s="39"/>
    </row>
    <row r="22" spans="1:20" x14ac:dyDescent="0.3">
      <c r="A22" s="16" t="s">
        <v>1</v>
      </c>
      <c r="B22" s="32"/>
      <c r="C22" s="38" t="s">
        <v>9</v>
      </c>
      <c r="D22" s="38" t="s">
        <v>15</v>
      </c>
      <c r="E22" s="38" t="s">
        <v>10</v>
      </c>
      <c r="F22" s="38" t="s">
        <v>11</v>
      </c>
      <c r="G22" s="38" t="s">
        <v>16</v>
      </c>
      <c r="H22" s="38" t="s">
        <v>12</v>
      </c>
      <c r="I22" s="38" t="s">
        <v>13</v>
      </c>
      <c r="J22" s="38" t="s">
        <v>14</v>
      </c>
      <c r="K22" s="67" t="s">
        <v>20</v>
      </c>
      <c r="L22" s="43"/>
      <c r="M22" s="43"/>
      <c r="N22" s="43"/>
    </row>
    <row r="23" spans="1:20" x14ac:dyDescent="0.3">
      <c r="A23" s="63" t="s">
        <v>21</v>
      </c>
      <c r="B23" s="61"/>
      <c r="C23" s="62">
        <v>10926041</v>
      </c>
      <c r="D23" s="62">
        <v>10034503</v>
      </c>
      <c r="E23" s="62">
        <v>10099122</v>
      </c>
      <c r="F23" s="62">
        <v>10889177</v>
      </c>
      <c r="G23" s="62">
        <v>11040018</v>
      </c>
      <c r="H23" s="62">
        <v>9684038</v>
      </c>
      <c r="I23" s="62">
        <v>10209723</v>
      </c>
      <c r="J23" s="62">
        <v>10826564</v>
      </c>
      <c r="K23" s="68">
        <v>10200000</v>
      </c>
      <c r="L23" s="43"/>
      <c r="M23" s="43"/>
      <c r="N23" s="43"/>
    </row>
    <row r="24" spans="1:20" x14ac:dyDescent="0.3">
      <c r="A24" s="64" t="s">
        <v>22</v>
      </c>
      <c r="B24" s="65"/>
      <c r="C24" s="66">
        <v>9</v>
      </c>
      <c r="D24" s="66">
        <v>13</v>
      </c>
      <c r="E24" s="66">
        <v>15</v>
      </c>
      <c r="F24" s="66">
        <v>10</v>
      </c>
      <c r="G24" s="66">
        <v>10</v>
      </c>
      <c r="H24" s="66">
        <v>11</v>
      </c>
      <c r="I24" s="66">
        <v>5</v>
      </c>
      <c r="J24" s="66">
        <v>12</v>
      </c>
      <c r="K24" s="69">
        <v>85</v>
      </c>
      <c r="L24" s="43"/>
      <c r="M24" s="43"/>
      <c r="N24" s="43"/>
    </row>
    <row r="25" spans="1:20" x14ac:dyDescent="0.3">
      <c r="A25" s="34" t="s">
        <v>3</v>
      </c>
      <c r="B25" s="33" t="s">
        <v>6</v>
      </c>
      <c r="C25" s="5"/>
      <c r="D25" s="5"/>
      <c r="E25" s="5"/>
      <c r="F25" s="5"/>
      <c r="G25" s="5"/>
      <c r="H25" s="5"/>
      <c r="I25" s="5"/>
      <c r="J25" s="5"/>
    </row>
    <row r="26" spans="1:20" x14ac:dyDescent="0.3">
      <c r="A26" s="35">
        <v>4.0000000000000001E-8</v>
      </c>
      <c r="B26" s="17">
        <v>0</v>
      </c>
      <c r="C26" s="41">
        <v>5.8135025125193218</v>
      </c>
      <c r="D26" s="41">
        <v>8.7021446558751698</v>
      </c>
      <c r="E26" s="41">
        <v>10.015016261493919</v>
      </c>
      <c r="F26" s="41">
        <v>6.4689790981615767</v>
      </c>
      <c r="G26" s="41">
        <v>6.4300651477297146</v>
      </c>
      <c r="H26" s="41">
        <v>7.4673039228263232</v>
      </c>
      <c r="I26" s="41">
        <v>3.3236024406178499</v>
      </c>
      <c r="J26" s="41">
        <v>7.782241296528893</v>
      </c>
      <c r="K26" s="70">
        <v>56.523220212265095</v>
      </c>
    </row>
    <row r="27" spans="1:20" x14ac:dyDescent="0.3">
      <c r="A27" s="21"/>
      <c r="B27" s="17">
        <v>1</v>
      </c>
      <c r="C27" s="41">
        <v>2.5407426722155648</v>
      </c>
      <c r="D27" s="41">
        <v>3.4928678662325341</v>
      </c>
      <c r="E27" s="41">
        <v>4.0457148422724396</v>
      </c>
      <c r="F27" s="41">
        <v>2.8176743363672712</v>
      </c>
      <c r="G27" s="41">
        <v>2.8395213988843482</v>
      </c>
      <c r="H27" s="41">
        <v>2.8925461978479672</v>
      </c>
      <c r="I27" s="41">
        <v>1.3573224112332882</v>
      </c>
      <c r="J27" s="41">
        <v>3.3701973384125212</v>
      </c>
      <c r="K27" s="70">
        <v>23.061473846604159</v>
      </c>
    </row>
    <row r="28" spans="1:20" x14ac:dyDescent="0.3">
      <c r="A28" s="21"/>
      <c r="B28" s="17">
        <v>2</v>
      </c>
      <c r="C28" s="41">
        <v>0.55520517214153642</v>
      </c>
      <c r="D28" s="41">
        <v>0.70098386164627924</v>
      </c>
      <c r="E28" s="41">
        <v>0.81716335538640272</v>
      </c>
      <c r="F28" s="41">
        <v>0.6136430915412151</v>
      </c>
      <c r="G28" s="41">
        <v>0.6269673471013677</v>
      </c>
      <c r="H28" s="41">
        <v>0.56023054593430466</v>
      </c>
      <c r="I28" s="41">
        <v>0.27715771680767926</v>
      </c>
      <c r="J28" s="41">
        <v>0.72975314353905651</v>
      </c>
      <c r="K28" s="70">
        <v>4.704540664707249</v>
      </c>
    </row>
    <row r="29" spans="1:20" x14ac:dyDescent="0.3">
      <c r="A29" s="21"/>
      <c r="B29" s="17">
        <v>3</v>
      </c>
      <c r="C29" s="41">
        <v>8.0882592989739821E-2</v>
      </c>
      <c r="D29" s="41">
        <v>9.3786995501882325E-2</v>
      </c>
      <c r="E29" s="41">
        <v>0.11003509893302184</v>
      </c>
      <c r="F29" s="41">
        <v>8.9094243181593258E-2</v>
      </c>
      <c r="G29" s="41">
        <v>9.228974396548463E-2</v>
      </c>
      <c r="H29" s="41">
        <v>7.2337251941180708E-2</v>
      </c>
      <c r="I29" s="41">
        <v>3.7729380212251321E-2</v>
      </c>
      <c r="J29" s="41">
        <v>0.10534292150302377</v>
      </c>
      <c r="K29" s="70">
        <v>0.63981753040018596</v>
      </c>
    </row>
    <row r="30" spans="1:20" x14ac:dyDescent="0.3">
      <c r="A30" s="21"/>
      <c r="B30" s="17">
        <v>4</v>
      </c>
      <c r="C30" s="41">
        <v>8.8372652719220963E-3</v>
      </c>
      <c r="D30" s="41">
        <v>9.4110588772462461E-3</v>
      </c>
      <c r="E30" s="41">
        <v>1.1112578884066578E-2</v>
      </c>
      <c r="F30" s="41">
        <v>9.7016298368541223E-3</v>
      </c>
      <c r="G30" s="41">
        <v>1.0188804345943415E-2</v>
      </c>
      <c r="H30" s="41">
        <v>7.0051669661396762E-3</v>
      </c>
      <c r="I30" s="41">
        <v>3.8520652092876723E-3</v>
      </c>
      <c r="J30" s="41">
        <v>1.1405018815994629E-2</v>
      </c>
      <c r="K30" s="70">
        <v>6.5261388100818968E-2</v>
      </c>
    </row>
    <row r="31" spans="1:20" x14ac:dyDescent="0.3">
      <c r="A31" s="21"/>
      <c r="B31" s="17">
        <v>5</v>
      </c>
      <c r="C31" s="41">
        <v>7.7245058151117585E-4</v>
      </c>
      <c r="D31" s="41">
        <v>7.5548238829523269E-4</v>
      </c>
      <c r="E31" s="41">
        <v>8.9781831907849788E-4</v>
      </c>
      <c r="F31" s="41">
        <v>8.4514211585588533E-4</v>
      </c>
      <c r="G31" s="41">
        <v>8.9987666702154832E-4</v>
      </c>
      <c r="H31" s="41">
        <v>5.4270642477153067E-4</v>
      </c>
      <c r="I31" s="41">
        <v>3.1462815011811326E-4</v>
      </c>
      <c r="J31" s="41">
        <v>9.8781732906056069E-4</v>
      </c>
      <c r="K31" s="70">
        <v>5.3253292690268279E-3</v>
      </c>
    </row>
    <row r="32" spans="1:20" x14ac:dyDescent="0.3">
      <c r="A32" s="21"/>
      <c r="B32" s="17">
        <v>6</v>
      </c>
      <c r="C32" s="41">
        <v>5.6265511493766339E-5</v>
      </c>
      <c r="D32" s="41">
        <v>5.0539268611971172E-5</v>
      </c>
      <c r="E32" s="41">
        <v>6.0447844921391179E-5</v>
      </c>
      <c r="F32" s="41">
        <v>6.135268059806161E-5</v>
      </c>
      <c r="G32" s="41">
        <v>6.6231030677986E-5</v>
      </c>
      <c r="H32" s="41">
        <v>3.5037264268877638E-5</v>
      </c>
      <c r="I32" s="41">
        <v>2.1415108404722357E-5</v>
      </c>
      <c r="J32" s="41">
        <v>7.129778355588812E-5</v>
      </c>
      <c r="K32" s="70">
        <v>3.6212239029382437E-4</v>
      </c>
    </row>
    <row r="33" spans="1:11" x14ac:dyDescent="0.3">
      <c r="A33" s="21"/>
      <c r="B33" s="17">
        <v>7</v>
      </c>
      <c r="C33" s="41">
        <v>3.5129102026677841E-6</v>
      </c>
      <c r="D33" s="41">
        <v>2.8979225285978899E-6</v>
      </c>
      <c r="E33" s="41">
        <v>3.4884009171326286E-6</v>
      </c>
      <c r="F33" s="41">
        <v>3.8176011340386202E-6</v>
      </c>
      <c r="G33" s="41">
        <v>4.1782386905343859E-6</v>
      </c>
      <c r="H33" s="41">
        <v>1.9388697062620184E-6</v>
      </c>
      <c r="I33" s="41">
        <v>1.2493847132982125E-6</v>
      </c>
      <c r="J33" s="41">
        <v>4.410914381291259E-6</v>
      </c>
      <c r="K33" s="70">
        <v>2.1106562177125765E-5</v>
      </c>
    </row>
    <row r="34" spans="1:11" x14ac:dyDescent="0.3">
      <c r="A34" s="21"/>
      <c r="B34" s="17">
        <v>8</v>
      </c>
      <c r="C34" s="41">
        <v>1.9191100451833259E-7</v>
      </c>
      <c r="D34" s="41">
        <v>1.4539606153491554E-7</v>
      </c>
      <c r="E34" s="41">
        <v>1.7614893223517157E-7</v>
      </c>
      <c r="F34" s="41">
        <v>2.0785267231973633E-7</v>
      </c>
      <c r="G34" s="41">
        <v>2.3063915175898027E-7</v>
      </c>
      <c r="H34" s="41">
        <v>9.3880439562451127E-8</v>
      </c>
      <c r="I34" s="41">
        <v>6.3779359216045822E-8</v>
      </c>
      <c r="J34" s="41">
        <v>2.3877523423785108E-7</v>
      </c>
      <c r="K34" s="70">
        <v>1.076434671033414E-6</v>
      </c>
    </row>
    <row r="35" spans="1:11" x14ac:dyDescent="0.3">
      <c r="A35" s="21"/>
      <c r="B35" s="17">
        <v>9</v>
      </c>
      <c r="C35" s="41">
        <v>9.3192333498599431E-9</v>
      </c>
      <c r="D35" s="41">
        <v>6.4843431807124201E-9</v>
      </c>
      <c r="E35" s="41">
        <v>7.9064424747232467E-9</v>
      </c>
      <c r="F35" s="41">
        <v>1.0059309061389376E-8</v>
      </c>
      <c r="G35" s="41">
        <v>1.1316712830772772E-8</v>
      </c>
      <c r="H35" s="41">
        <v>4.0406299741310231E-9</v>
      </c>
      <c r="I35" s="41">
        <v>2.8940870698370002E-9</v>
      </c>
      <c r="J35" s="41">
        <v>1.1489401578182605E-8</v>
      </c>
      <c r="K35" s="70">
        <v>4.8798371753514766E-8</v>
      </c>
    </row>
    <row r="36" spans="1:11" x14ac:dyDescent="0.3">
      <c r="A36" s="21"/>
      <c r="B36" s="17">
        <v>10</v>
      </c>
      <c r="C36" s="41">
        <v>4.0728930267654835E-10</v>
      </c>
      <c r="D36" s="41">
        <v>2.602686443995533E-10</v>
      </c>
      <c r="E36" s="41">
        <v>3.1939250855284797E-10</v>
      </c>
      <c r="F36" s="41">
        <v>4.3815038746869111E-10</v>
      </c>
      <c r="G36" s="41">
        <v>4.9974685341024955E-10</v>
      </c>
      <c r="H36" s="41">
        <v>1.5651845685369535E-10</v>
      </c>
      <c r="I36" s="41">
        <v>1.1819130928366968E-10</v>
      </c>
      <c r="J36" s="41">
        <v>4.975629660315799E-10</v>
      </c>
      <c r="K36" s="70">
        <v>1.9909735675434024E-9</v>
      </c>
    </row>
    <row r="37" spans="1:11" x14ac:dyDescent="0.3">
      <c r="A37" s="21"/>
      <c r="B37" s="17"/>
      <c r="K37" s="71"/>
    </row>
    <row r="38" spans="1:11" x14ac:dyDescent="0.3">
      <c r="A38" s="35">
        <v>2.6E-7</v>
      </c>
      <c r="B38" s="17">
        <v>0</v>
      </c>
      <c r="C38" s="41">
        <v>0.52542691688892351</v>
      </c>
      <c r="D38" s="41">
        <v>0.95693513666360519</v>
      </c>
      <c r="E38" s="41">
        <v>1.0857600485562373</v>
      </c>
      <c r="F38" s="41">
        <v>0.58943016984624519</v>
      </c>
      <c r="G38" s="41">
        <v>0.56676095729566545</v>
      </c>
      <c r="H38" s="41">
        <v>0.88696219962359368</v>
      </c>
      <c r="I38" s="41">
        <v>0.35166077269468277</v>
      </c>
      <c r="J38" s="41">
        <v>0.71892510171950597</v>
      </c>
      <c r="K38" s="70">
        <v>5.993365098024003</v>
      </c>
    </row>
    <row r="39" spans="1:11" x14ac:dyDescent="0.3">
      <c r="A39" s="21"/>
      <c r="B39" s="17">
        <v>1</v>
      </c>
      <c r="C39" s="41">
        <v>1.4926173694723124</v>
      </c>
      <c r="D39" s="41">
        <v>2.4966158099106526</v>
      </c>
      <c r="E39" s="41">
        <v>2.8509580302047945</v>
      </c>
      <c r="F39" s="41">
        <v>1.6687864566349151</v>
      </c>
      <c r="G39" s="41">
        <v>1.6268333042627583</v>
      </c>
      <c r="H39" s="41">
        <v>2.2332376678868013</v>
      </c>
      <c r="I39" s="41">
        <v>0.93349336058645549</v>
      </c>
      <c r="J39" s="41">
        <v>2.0237070424929122</v>
      </c>
      <c r="K39" s="70">
        <v>15.894404239959657</v>
      </c>
    </row>
    <row r="40" spans="1:11" x14ac:dyDescent="0.3">
      <c r="A40" s="21"/>
      <c r="B40" s="17">
        <v>2</v>
      </c>
      <c r="C40" s="41">
        <v>2.1200918149016625</v>
      </c>
      <c r="D40" s="41">
        <v>3.2567988484714632</v>
      </c>
      <c r="E40" s="41">
        <v>3.7429824853093274</v>
      </c>
      <c r="F40" s="41">
        <v>2.3623224431950538</v>
      </c>
      <c r="G40" s="41">
        <v>2.3348349650678428</v>
      </c>
      <c r="H40" s="41">
        <v>2.8114785970501313</v>
      </c>
      <c r="I40" s="41">
        <v>1.2389921224104876</v>
      </c>
      <c r="J40" s="41">
        <v>2.8482731956640301</v>
      </c>
      <c r="K40" s="70">
        <v>21.075980022186506</v>
      </c>
    </row>
    <row r="41" spans="1:11" x14ac:dyDescent="0.3">
      <c r="A41" s="21"/>
      <c r="B41" s="17">
        <v>3</v>
      </c>
      <c r="C41" s="41">
        <v>2.007564874759598</v>
      </c>
      <c r="D41" s="41">
        <v>2.8322976773332318</v>
      </c>
      <c r="E41" s="41">
        <v>3.2760725194601825</v>
      </c>
      <c r="F41" s="41">
        <v>2.2293914253020271</v>
      </c>
      <c r="G41" s="41">
        <v>2.2339737369194577</v>
      </c>
      <c r="H41" s="41">
        <v>2.3596270160684139</v>
      </c>
      <c r="I41" s="41">
        <v>1.0963130853127416</v>
      </c>
      <c r="J41" s="41">
        <v>2.672541043669566</v>
      </c>
      <c r="K41" s="70">
        <v>18.631166339612871</v>
      </c>
    </row>
    <row r="42" spans="1:11" x14ac:dyDescent="0.3">
      <c r="A42" s="21"/>
      <c r="B42" s="17">
        <v>4</v>
      </c>
      <c r="C42" s="41">
        <v>1.4257578485659097</v>
      </c>
      <c r="D42" s="41">
        <v>1.8473454701060676</v>
      </c>
      <c r="E42" s="41">
        <v>2.1505546435669243</v>
      </c>
      <c r="F42" s="41">
        <v>1.577955459105743</v>
      </c>
      <c r="G42" s="41">
        <v>1.6031021673626751</v>
      </c>
      <c r="H42" s="41">
        <v>1.4852966498131532</v>
      </c>
      <c r="I42" s="41">
        <v>0.72754843995069995</v>
      </c>
      <c r="J42" s="41">
        <v>1.8807383823744974</v>
      </c>
      <c r="K42" s="70">
        <v>12.352463283163337</v>
      </c>
    </row>
    <row r="43" spans="1:11" x14ac:dyDescent="0.3">
      <c r="A43" s="21"/>
      <c r="B43" s="17">
        <v>5</v>
      </c>
      <c r="C43" s="41">
        <v>0.81005021289415202</v>
      </c>
      <c r="D43" s="41">
        <v>0.96393407041441859</v>
      </c>
      <c r="E43" s="41">
        <v>1.1293731130785418</v>
      </c>
      <c r="F43" s="41">
        <v>0.89349708720057219</v>
      </c>
      <c r="G43" s="41">
        <v>0.92031039274319315</v>
      </c>
      <c r="H43" s="41">
        <v>0.7479507982992899</v>
      </c>
      <c r="I43" s="41">
        <v>0.38625953813089664</v>
      </c>
      <c r="J43" s="41">
        <v>1.0588205921297664</v>
      </c>
      <c r="K43" s="70">
        <v>6.5517465253898326</v>
      </c>
    </row>
    <row r="44" spans="1:11" x14ac:dyDescent="0.3">
      <c r="A44" s="21"/>
      <c r="B44" s="17">
        <v>6</v>
      </c>
      <c r="C44" s="41">
        <v>0.38352781298607685</v>
      </c>
      <c r="D44" s="41">
        <v>0.41914597059294673</v>
      </c>
      <c r="E44" s="41">
        <v>0.49424599694166621</v>
      </c>
      <c r="F44" s="41">
        <v>0.42160941036549682</v>
      </c>
      <c r="G44" s="41">
        <v>0.44027720973044981</v>
      </c>
      <c r="H44" s="41">
        <v>0.31387130462396196</v>
      </c>
      <c r="I44" s="41">
        <v>0.170889458585057</v>
      </c>
      <c r="J44" s="41">
        <v>0.49674685255913509</v>
      </c>
      <c r="K44" s="70">
        <v>2.8958719642223065</v>
      </c>
    </row>
    <row r="45" spans="1:11" x14ac:dyDescent="0.3">
      <c r="A45" s="21"/>
      <c r="B45" s="17">
        <v>7</v>
      </c>
      <c r="C45" s="41">
        <v>0.15564493691783057</v>
      </c>
      <c r="D45" s="41">
        <v>0.15621994140453394</v>
      </c>
      <c r="E45" s="41">
        <v>0.18539673735609052</v>
      </c>
      <c r="F45" s="41">
        <v>0.17052209550389111</v>
      </c>
      <c r="G45" s="41">
        <v>0.18053910904394643</v>
      </c>
      <c r="H45" s="41">
        <v>0.11289726095469799</v>
      </c>
      <c r="I45" s="41">
        <v>6.4804407043012158E-2</v>
      </c>
      <c r="J45" s="41">
        <v>0.1997565733811158</v>
      </c>
      <c r="K45" s="70">
        <v>1.0971217784453651</v>
      </c>
    </row>
    <row r="46" spans="1:11" x14ac:dyDescent="0.3">
      <c r="A46" s="21"/>
      <c r="B46" s="17">
        <v>8</v>
      </c>
      <c r="C46" s="41">
        <v>5.526894627171549E-2</v>
      </c>
      <c r="D46" s="41">
        <v>5.0946657797217638E-2</v>
      </c>
      <c r="E46" s="41">
        <v>6.0851188741236253E-2</v>
      </c>
      <c r="F46" s="41">
        <v>6.0347471611465163E-2</v>
      </c>
      <c r="G46" s="41">
        <v>6.4777537940346769E-2</v>
      </c>
      <c r="H46" s="41">
        <v>3.553229436838938E-2</v>
      </c>
      <c r="I46" s="41">
        <v>2.1503138965373102E-2</v>
      </c>
      <c r="J46" s="41">
        <v>7.0287013099268741E-2</v>
      </c>
      <c r="K46" s="70">
        <v>0.36369586955463862</v>
      </c>
    </row>
    <row r="47" spans="1:11" x14ac:dyDescent="0.3">
      <c r="A47" s="21"/>
      <c r="B47" s="17">
        <v>9</v>
      </c>
      <c r="C47" s="41">
        <v>1.7445155664200636E-2</v>
      </c>
      <c r="D47" s="41">
        <v>1.476870461462222E-2</v>
      </c>
      <c r="E47" s="41">
        <v>1.7753481169457838E-2</v>
      </c>
      <c r="F47" s="41">
        <v>1.8983879774303006E-2</v>
      </c>
      <c r="G47" s="41">
        <v>2.065974978476099E-2</v>
      </c>
      <c r="H47" s="41">
        <v>9.9405536790637648E-3</v>
      </c>
      <c r="I47" s="41">
        <v>6.3422982268234607E-3</v>
      </c>
      <c r="J47" s="41">
        <v>2.1983486653210947E-2</v>
      </c>
      <c r="K47" s="70">
        <v>0.10716904956210017</v>
      </c>
    </row>
    <row r="48" spans="1:11" x14ac:dyDescent="0.3">
      <c r="A48" s="21"/>
      <c r="B48" s="17">
        <v>10</v>
      </c>
      <c r="C48" s="41">
        <v>4.9557686369993987E-3</v>
      </c>
      <c r="D48" s="41">
        <v>3.8531118798000525E-3</v>
      </c>
      <c r="E48" s="41">
        <v>4.6616588786314922E-3</v>
      </c>
      <c r="F48" s="41">
        <v>5.374689502236742E-3</v>
      </c>
      <c r="G48" s="41">
        <v>5.9301842469806926E-3</v>
      </c>
      <c r="H48" s="41">
        <v>2.5028821887964257E-3</v>
      </c>
      <c r="I48" s="41">
        <v>1.6835808100607267E-3</v>
      </c>
      <c r="J48" s="41">
        <v>6.1881462550474869E-3</v>
      </c>
      <c r="K48" s="70">
        <v>2.8421231943868967E-2</v>
      </c>
    </row>
    <row r="49" spans="1:19" x14ac:dyDescent="0.3">
      <c r="A49" s="21"/>
      <c r="B49" s="17"/>
      <c r="C49" s="2"/>
      <c r="D49" s="2"/>
      <c r="E49" s="2"/>
      <c r="F49" s="2"/>
      <c r="G49" s="2"/>
      <c r="H49" s="2"/>
      <c r="I49" s="2"/>
      <c r="J49" s="2"/>
      <c r="K49" s="71"/>
    </row>
    <row r="50" spans="1:19" x14ac:dyDescent="0.3">
      <c r="A50" s="35">
        <v>3.9999999999999998E-7</v>
      </c>
      <c r="B50" s="17">
        <v>0</v>
      </c>
      <c r="C50" s="41">
        <v>0.11381409777971918</v>
      </c>
      <c r="D50" s="41">
        <v>0.234840400435883</v>
      </c>
      <c r="E50" s="41">
        <v>0.26405552351168904</v>
      </c>
      <c r="F50" s="41">
        <v>0.12833865365726937</v>
      </c>
      <c r="G50" s="41">
        <v>0.12082414512800201</v>
      </c>
      <c r="H50" s="41">
        <v>0.228614677966823</v>
      </c>
      <c r="I50" s="41">
        <v>8.4209415535239709E-2</v>
      </c>
      <c r="J50" s="41">
        <v>0.15791220938142841</v>
      </c>
      <c r="K50" s="72">
        <v>1.4371385245906865</v>
      </c>
    </row>
    <row r="51" spans="1:19" x14ac:dyDescent="0.3">
      <c r="A51" s="21"/>
      <c r="B51" s="17">
        <v>1</v>
      </c>
      <c r="C51" s="41">
        <v>0.49741499948768825</v>
      </c>
      <c r="D51" s="41">
        <v>0.94260268107802747</v>
      </c>
      <c r="E51" s="41">
        <v>1.0666915786873665</v>
      </c>
      <c r="F51" s="41">
        <v>0.55900092624628139</v>
      </c>
      <c r="G51" s="41">
        <v>0.53356029481910361</v>
      </c>
      <c r="H51" s="41">
        <v>0.88556529151539054</v>
      </c>
      <c r="I51" s="41">
        <v>0.34390192264267766</v>
      </c>
      <c r="J51" s="41">
        <v>0.68385865649977395</v>
      </c>
      <c r="K51" s="72">
        <v>5.8635251803300008</v>
      </c>
    </row>
    <row r="52" spans="1:19" x14ac:dyDescent="0.3">
      <c r="A52" s="21"/>
      <c r="B52" s="17">
        <v>2</v>
      </c>
      <c r="C52" s="41">
        <v>1.0869553356834922</v>
      </c>
      <c r="D52" s="41">
        <v>1.891709886217102</v>
      </c>
      <c r="E52" s="41">
        <v>2.1545296779072625</v>
      </c>
      <c r="F52" s="41">
        <v>1.2174120058119406</v>
      </c>
      <c r="G52" s="41">
        <v>1.1781030517776423</v>
      </c>
      <c r="H52" s="41">
        <v>1.715169586903224</v>
      </c>
      <c r="I52" s="41">
        <v>0.70222867386983334</v>
      </c>
      <c r="J52" s="41">
        <v>1.4807679023097635</v>
      </c>
      <c r="K52" s="72">
        <v>11.961591367873201</v>
      </c>
    </row>
    <row r="53" spans="1:19" x14ac:dyDescent="0.3">
      <c r="A53" s="12"/>
      <c r="B53" s="17">
        <v>3</v>
      </c>
      <c r="C53" s="41">
        <v>1.5834824750462131</v>
      </c>
      <c r="D53" s="41">
        <v>2.5309824704500223</v>
      </c>
      <c r="E53" s="41">
        <v>2.9011810759741539</v>
      </c>
      <c r="F53" s="41">
        <v>1.7675486417615003</v>
      </c>
      <c r="G53" s="41">
        <v>1.7341705196640134</v>
      </c>
      <c r="H53" s="41">
        <v>2.2146356608020166</v>
      </c>
      <c r="I53" s="41">
        <v>0.95594136571577826</v>
      </c>
      <c r="J53" s="41">
        <v>2.1375504618003203</v>
      </c>
      <c r="K53" s="72">
        <v>16.267764260307551</v>
      </c>
    </row>
    <row r="54" spans="1:19" x14ac:dyDescent="0.3">
      <c r="A54" s="12"/>
      <c r="B54" s="17">
        <v>4</v>
      </c>
      <c r="C54" s="41">
        <v>1.7301194445136399</v>
      </c>
      <c r="D54" s="41">
        <v>2.5397151192678158</v>
      </c>
      <c r="E54" s="41">
        <v>2.9299381630354251</v>
      </c>
      <c r="F54" s="41">
        <v>1.924715001625056</v>
      </c>
      <c r="G54" s="41">
        <v>1.9145273752160064</v>
      </c>
      <c r="H54" s="41">
        <v>2.1446615895361831</v>
      </c>
      <c r="I54" s="41">
        <v>0.97598965481997912</v>
      </c>
      <c r="J54" s="41">
        <v>2.3142326877910722</v>
      </c>
      <c r="K54" s="72">
        <v>16.593119545513705</v>
      </c>
    </row>
    <row r="55" spans="1:19" x14ac:dyDescent="0.3">
      <c r="A55" s="12"/>
      <c r="B55" s="17">
        <v>5</v>
      </c>
      <c r="C55" s="41">
        <v>1.5122684788522602</v>
      </c>
      <c r="D55" s="41">
        <v>2.0387823186750604</v>
      </c>
      <c r="E55" s="41">
        <v>2.3671842368760521</v>
      </c>
      <c r="F55" s="41">
        <v>1.6766849861800419</v>
      </c>
      <c r="G55" s="41">
        <v>1.6909133347101968</v>
      </c>
      <c r="H55" s="41">
        <v>1.6615187464167038</v>
      </c>
      <c r="I55" s="41">
        <v>0.79716672212620809</v>
      </c>
      <c r="J55" s="41">
        <v>2.0044150644209644</v>
      </c>
      <c r="K55" s="72">
        <v>13.539985549139182</v>
      </c>
    </row>
    <row r="56" spans="1:19" x14ac:dyDescent="0.3">
      <c r="A56" s="12"/>
      <c r="B56" s="17">
        <v>6</v>
      </c>
      <c r="C56" s="41">
        <v>1.1015404935298285</v>
      </c>
      <c r="D56" s="41">
        <v>1.3638778195394565</v>
      </c>
      <c r="E56" s="41">
        <v>1.5937654936458763</v>
      </c>
      <c r="F56" s="41">
        <v>1.2171813058504686</v>
      </c>
      <c r="G56" s="41">
        <v>1.2445142434427068</v>
      </c>
      <c r="H56" s="41">
        <v>1.0726807118674482</v>
      </c>
      <c r="I56" s="41">
        <v>0.54259009451510365</v>
      </c>
      <c r="J56" s="41">
        <v>1.4467285318345129</v>
      </c>
      <c r="K56" s="72">
        <v>9.2071901734146451</v>
      </c>
    </row>
    <row r="57" spans="1:19" x14ac:dyDescent="0.3">
      <c r="A57" s="12"/>
      <c r="B57" s="17">
        <v>7</v>
      </c>
      <c r="C57" s="41">
        <v>0.68774151974097952</v>
      </c>
      <c r="D57" s="41">
        <v>0.78204777553155047</v>
      </c>
      <c r="E57" s="41">
        <v>0.91975040912685324</v>
      </c>
      <c r="F57" s="41">
        <v>0.75737729602839354</v>
      </c>
      <c r="G57" s="41">
        <v>0.78511197993507786</v>
      </c>
      <c r="H57" s="41">
        <v>0.59359318717665244</v>
      </c>
      <c r="I57" s="41">
        <v>0.31655397528817297</v>
      </c>
      <c r="J57" s="41">
        <v>0.89503423088756517</v>
      </c>
      <c r="K57" s="72">
        <v>5.366476558218821</v>
      </c>
    </row>
    <row r="58" spans="1:19" x14ac:dyDescent="0.3">
      <c r="A58" s="12"/>
      <c r="B58" s="17">
        <v>8</v>
      </c>
      <c r="C58" s="41">
        <v>0.3757146021046126</v>
      </c>
      <c r="D58" s="41">
        <v>0.39237303748573343</v>
      </c>
      <c r="E58" s="41">
        <v>0.46443357956610015</v>
      </c>
      <c r="F58" s="41">
        <v>0.41236077161172868</v>
      </c>
      <c r="G58" s="41">
        <v>0.43338251952494489</v>
      </c>
      <c r="H58" s="41">
        <v>0.28741894905799081</v>
      </c>
      <c r="I58" s="41">
        <v>0.16159642011205455</v>
      </c>
      <c r="J58" s="41">
        <v>0.48450726914474995</v>
      </c>
      <c r="K58" s="72">
        <v>2.7369030446915992</v>
      </c>
    </row>
    <row r="59" spans="1:19" x14ac:dyDescent="0.3">
      <c r="A59" s="12"/>
      <c r="B59" s="17">
        <v>9</v>
      </c>
      <c r="C59" s="41">
        <v>0.182447695417497</v>
      </c>
      <c r="D59" s="41">
        <v>0.17498970763420907</v>
      </c>
      <c r="E59" s="41">
        <v>0.20846095026376679</v>
      </c>
      <c r="F59" s="41">
        <v>0.19956753021940837</v>
      </c>
      <c r="G59" s="41">
        <v>0.21264670295292193</v>
      </c>
      <c r="H59" s="41">
        <v>0.12370560109322873</v>
      </c>
      <c r="I59" s="41">
        <v>7.3326874983809145E-2</v>
      </c>
      <c r="J59" s="41">
        <v>0.23313550923826043</v>
      </c>
      <c r="K59" s="72">
        <v>1.2407293802601915</v>
      </c>
    </row>
    <row r="60" spans="1:19" x14ac:dyDescent="0.3">
      <c r="A60" s="50"/>
      <c r="B60" s="51">
        <v>10</v>
      </c>
      <c r="C60" s="57">
        <v>7.9737240019483402E-2</v>
      </c>
      <c r="D60" s="57">
        <v>7.0237389848983742E-2</v>
      </c>
      <c r="E60" s="57">
        <v>8.4210902757988509E-2</v>
      </c>
      <c r="F60" s="57">
        <v>8.6925046400479461E-2</v>
      </c>
      <c r="G60" s="57">
        <v>9.3904937129636448E-2</v>
      </c>
      <c r="H60" s="57">
        <v>4.7918789671986747E-2</v>
      </c>
      <c r="I60" s="57">
        <v>2.9945883281612837E-2</v>
      </c>
      <c r="J60" s="57">
        <v>0.10096226045762471</v>
      </c>
      <c r="K60" s="73">
        <v>0.50621758714615805</v>
      </c>
    </row>
    <row r="61" spans="1:19" ht="19.8" x14ac:dyDescent="0.35">
      <c r="A61" s="58" t="s">
        <v>29</v>
      </c>
      <c r="C61" s="2"/>
      <c r="D61" s="2"/>
      <c r="E61" s="2"/>
      <c r="F61" s="2"/>
      <c r="G61" s="2"/>
      <c r="H61" s="2"/>
      <c r="I61" s="2"/>
      <c r="J61" s="3"/>
    </row>
    <row r="62" spans="1:19" ht="18" x14ac:dyDescent="0.35">
      <c r="A62" s="58" t="s">
        <v>23</v>
      </c>
      <c r="C62" s="2"/>
      <c r="D62" s="2"/>
      <c r="E62" s="2"/>
      <c r="F62" s="2"/>
      <c r="G62" s="2"/>
      <c r="H62" s="2"/>
      <c r="I62" s="2"/>
      <c r="J62" s="3"/>
    </row>
    <row r="63" spans="1:19" ht="18" x14ac:dyDescent="0.35">
      <c r="A63" s="60"/>
      <c r="C63" s="2"/>
      <c r="D63" s="2"/>
      <c r="E63" s="2"/>
      <c r="F63" s="2"/>
      <c r="G63" s="2"/>
      <c r="H63" s="2"/>
      <c r="I63" s="2"/>
      <c r="J63" s="3"/>
    </row>
    <row r="64" spans="1:19" ht="16.2" thickBot="1" x14ac:dyDescent="0.35">
      <c r="A64" s="45"/>
      <c r="B64" s="45"/>
      <c r="C64" s="46"/>
      <c r="D64" s="46"/>
      <c r="E64" s="46"/>
      <c r="F64" s="46"/>
      <c r="G64" s="46"/>
      <c r="H64" s="46"/>
      <c r="I64" s="46"/>
      <c r="J64" s="47"/>
      <c r="K64" s="45"/>
      <c r="L64" s="45"/>
      <c r="M64" s="45"/>
      <c r="N64" s="45"/>
      <c r="O64" s="45"/>
      <c r="P64" s="45"/>
      <c r="Q64" s="45"/>
      <c r="R64" s="45"/>
      <c r="S64" s="45"/>
    </row>
    <row r="65" spans="1:13" ht="34.200000000000003" thickTop="1" x14ac:dyDescent="0.65">
      <c r="A65" s="52" t="s">
        <v>17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3" ht="19.8" x14ac:dyDescent="0.35">
      <c r="B66" s="81" t="s">
        <v>32</v>
      </c>
      <c r="C66" s="81"/>
      <c r="D66" s="82" t="s">
        <v>33</v>
      </c>
      <c r="E66" s="82"/>
      <c r="F66" s="80" t="s">
        <v>34</v>
      </c>
      <c r="G66" s="80"/>
      <c r="H66" s="80"/>
      <c r="I66" s="80"/>
      <c r="J66" s="80"/>
      <c r="K66" s="80"/>
      <c r="L66" s="37" t="s">
        <v>35</v>
      </c>
      <c r="M66" s="67" t="s">
        <v>36</v>
      </c>
    </row>
    <row r="67" spans="1:13" x14ac:dyDescent="0.3">
      <c r="A67" s="53" t="s">
        <v>8</v>
      </c>
      <c r="B67" s="77">
        <v>2.6E-7</v>
      </c>
      <c r="C67" s="54" t="s">
        <v>2</v>
      </c>
      <c r="D67" s="76">
        <v>2.6E-7</v>
      </c>
      <c r="E67" s="19" t="s">
        <v>2</v>
      </c>
      <c r="F67" s="78">
        <v>4.0000000000000001E-8</v>
      </c>
      <c r="G67" s="55" t="s">
        <v>2</v>
      </c>
      <c r="H67" s="78">
        <v>3.9999999999999998E-7</v>
      </c>
      <c r="I67" s="55" t="s">
        <v>2</v>
      </c>
      <c r="J67" s="56" t="s">
        <v>24</v>
      </c>
      <c r="K67" s="55" t="s">
        <v>2</v>
      </c>
      <c r="L67" s="20"/>
      <c r="M67" s="36"/>
    </row>
    <row r="68" spans="1:13" x14ac:dyDescent="0.3">
      <c r="A68" s="42">
        <v>0</v>
      </c>
      <c r="B68" s="7">
        <f t="shared" ref="B68:B78" si="0">SUM(C38:J38)</f>
        <v>5.6818613032884588</v>
      </c>
      <c r="C68" s="9">
        <f t="shared" ref="C68:C78" si="1">ROUND(SUM(C38:J38),0)</f>
        <v>6</v>
      </c>
      <c r="D68" s="7">
        <f>K38</f>
        <v>5.993365098024003</v>
      </c>
      <c r="E68" s="9">
        <f>ROUND(K38,0)</f>
        <v>6</v>
      </c>
      <c r="F68" s="24">
        <f t="shared" ref="F68:F78" si="2">SUM(C26:J26)</f>
        <v>56.00285533575277</v>
      </c>
      <c r="G68" s="25">
        <f t="shared" ref="G68:G78" si="3">ROUND(SUM(C26:J26),0)</f>
        <v>56</v>
      </c>
      <c r="H68" s="24">
        <f t="shared" ref="H68:H78" si="4">SUM(C50:J50)</f>
        <v>1.3326091233960538</v>
      </c>
      <c r="I68" s="25">
        <f t="shared" ref="I68:I78" si="5">ROUND(SUM(C50:J50),0)</f>
        <v>1</v>
      </c>
      <c r="J68" s="22">
        <f t="shared" ref="J68:J78" si="6">(F68*$G$79+H68*$I$79)</f>
        <v>20.467195297720902</v>
      </c>
      <c r="K68" s="18">
        <f t="shared" ref="K68:K78" si="7">ROUND((F68*$G$79+H68*$I$79),0)</f>
        <v>20</v>
      </c>
      <c r="L68" s="29">
        <f>ROUND((K26*$G$79+K50*$I$79),0)</f>
        <v>21</v>
      </c>
      <c r="M68" s="43">
        <f t="shared" ref="M68:M78" si="8">COUNTIF($B$4:$I$19,A68)</f>
        <v>20</v>
      </c>
    </row>
    <row r="69" spans="1:13" x14ac:dyDescent="0.3">
      <c r="A69" s="42">
        <v>1</v>
      </c>
      <c r="B69" s="7">
        <f t="shared" si="0"/>
        <v>15.326249041451602</v>
      </c>
      <c r="C69" s="9">
        <f t="shared" si="1"/>
        <v>15</v>
      </c>
      <c r="D69" s="7">
        <f t="shared" ref="D69:D78" si="9">K39</f>
        <v>15.894404239959657</v>
      </c>
      <c r="E69" s="9">
        <f t="shared" ref="E69:E78" si="10">ROUND(K39,0)</f>
        <v>16</v>
      </c>
      <c r="F69" s="15">
        <f t="shared" si="2"/>
        <v>23.35658706346593</v>
      </c>
      <c r="G69" s="26">
        <f t="shared" si="3"/>
        <v>23</v>
      </c>
      <c r="H69" s="15">
        <f t="shared" si="4"/>
        <v>5.5125963509763096</v>
      </c>
      <c r="I69" s="26">
        <f t="shared" si="5"/>
        <v>6</v>
      </c>
      <c r="J69" s="23">
        <f t="shared" si="6"/>
        <v>11.757993100347676</v>
      </c>
      <c r="K69" s="43">
        <f t="shared" si="7"/>
        <v>12</v>
      </c>
      <c r="L69" s="30">
        <f t="shared" ref="L69:L78" si="11">ROUND((K27*$G$79+K51*$I$79),0)</f>
        <v>12</v>
      </c>
      <c r="M69" s="43">
        <f t="shared" si="8"/>
        <v>12</v>
      </c>
    </row>
    <row r="70" spans="1:13" x14ac:dyDescent="0.3">
      <c r="A70" s="42">
        <v>2</v>
      </c>
      <c r="B70" s="7">
        <f t="shared" si="0"/>
        <v>20.715774472069999</v>
      </c>
      <c r="C70" s="9">
        <f t="shared" si="1"/>
        <v>21</v>
      </c>
      <c r="D70" s="7">
        <f t="shared" si="9"/>
        <v>21.075980022186506</v>
      </c>
      <c r="E70" s="9">
        <f t="shared" si="10"/>
        <v>21</v>
      </c>
      <c r="F70" s="15">
        <f t="shared" si="2"/>
        <v>4.8811042340978421</v>
      </c>
      <c r="G70" s="26">
        <f t="shared" si="3"/>
        <v>5</v>
      </c>
      <c r="H70" s="15">
        <f t="shared" si="4"/>
        <v>11.426876120480259</v>
      </c>
      <c r="I70" s="26">
        <f t="shared" si="5"/>
        <v>11</v>
      </c>
      <c r="J70" s="23">
        <f t="shared" si="6"/>
        <v>9.1358559602464133</v>
      </c>
      <c r="K70" s="43">
        <f t="shared" si="7"/>
        <v>9</v>
      </c>
      <c r="L70" s="30">
        <f t="shared" si="11"/>
        <v>9</v>
      </c>
      <c r="M70" s="43">
        <f t="shared" si="8"/>
        <v>10</v>
      </c>
    </row>
    <row r="71" spans="1:13" x14ac:dyDescent="0.3">
      <c r="A71" s="42">
        <v>3</v>
      </c>
      <c r="B71" s="7">
        <f t="shared" si="0"/>
        <v>18.707781378825217</v>
      </c>
      <c r="C71" s="9">
        <f t="shared" si="1"/>
        <v>19</v>
      </c>
      <c r="D71" s="7">
        <f t="shared" si="9"/>
        <v>18.631166339612871</v>
      </c>
      <c r="E71" s="9">
        <f t="shared" si="10"/>
        <v>19</v>
      </c>
      <c r="F71" s="15">
        <f t="shared" si="2"/>
        <v>0.68149822822817763</v>
      </c>
      <c r="G71" s="26">
        <f t="shared" si="3"/>
        <v>1</v>
      </c>
      <c r="H71" s="15">
        <f t="shared" si="4"/>
        <v>15.82549267121402</v>
      </c>
      <c r="I71" s="26">
        <f t="shared" si="5"/>
        <v>16</v>
      </c>
      <c r="J71" s="23">
        <f t="shared" si="6"/>
        <v>10.525094616168976</v>
      </c>
      <c r="K71" s="43">
        <f t="shared" si="7"/>
        <v>11</v>
      </c>
      <c r="L71" s="30">
        <f t="shared" si="11"/>
        <v>11</v>
      </c>
      <c r="M71" s="43">
        <f t="shared" si="8"/>
        <v>14</v>
      </c>
    </row>
    <row r="72" spans="1:13" x14ac:dyDescent="0.3">
      <c r="A72" s="42">
        <v>4</v>
      </c>
      <c r="B72" s="7">
        <f t="shared" si="0"/>
        <v>12.69829906084567</v>
      </c>
      <c r="C72" s="9">
        <f t="shared" si="1"/>
        <v>13</v>
      </c>
      <c r="D72" s="7">
        <f t="shared" si="9"/>
        <v>12.352463283163337</v>
      </c>
      <c r="E72" s="9">
        <f t="shared" si="10"/>
        <v>12</v>
      </c>
      <c r="F72" s="15">
        <f t="shared" si="2"/>
        <v>7.1513588207454432E-2</v>
      </c>
      <c r="G72" s="26">
        <f t="shared" si="3"/>
        <v>0</v>
      </c>
      <c r="H72" s="15">
        <f t="shared" si="4"/>
        <v>16.473899035805175</v>
      </c>
      <c r="I72" s="26">
        <f t="shared" si="5"/>
        <v>16</v>
      </c>
      <c r="J72" s="23">
        <f t="shared" si="6"/>
        <v>10.733064129145973</v>
      </c>
      <c r="K72" s="43">
        <f t="shared" si="7"/>
        <v>11</v>
      </c>
      <c r="L72" s="30">
        <f t="shared" si="11"/>
        <v>11</v>
      </c>
      <c r="M72" s="43">
        <f t="shared" si="8"/>
        <v>11</v>
      </c>
    </row>
    <row r="73" spans="1:13" x14ac:dyDescent="0.3">
      <c r="A73" s="42">
        <v>5</v>
      </c>
      <c r="B73" s="7">
        <f t="shared" si="0"/>
        <v>6.9101958048908312</v>
      </c>
      <c r="C73" s="9">
        <f t="shared" si="1"/>
        <v>7</v>
      </c>
      <c r="D73" s="7">
        <f t="shared" si="9"/>
        <v>6.5517465253898326</v>
      </c>
      <c r="E73" s="9">
        <f t="shared" si="10"/>
        <v>7</v>
      </c>
      <c r="F73" s="15">
        <f t="shared" si="2"/>
        <v>6.0159219757125442E-3</v>
      </c>
      <c r="G73" s="26">
        <f t="shared" si="3"/>
        <v>0</v>
      </c>
      <c r="H73" s="15">
        <f t="shared" si="4"/>
        <v>13.748933888257488</v>
      </c>
      <c r="I73" s="26">
        <f t="shared" si="5"/>
        <v>14</v>
      </c>
      <c r="J73" s="23">
        <f t="shared" si="6"/>
        <v>8.9389126000588668</v>
      </c>
      <c r="K73" s="43">
        <f t="shared" si="7"/>
        <v>9</v>
      </c>
      <c r="L73" s="30">
        <f t="shared" si="11"/>
        <v>9</v>
      </c>
      <c r="M73" s="43">
        <f t="shared" si="8"/>
        <v>6</v>
      </c>
    </row>
    <row r="74" spans="1:13" x14ac:dyDescent="0.3">
      <c r="A74" s="42">
        <v>6</v>
      </c>
      <c r="B74" s="7">
        <f t="shared" si="0"/>
        <v>3.1403140163847905</v>
      </c>
      <c r="C74" s="9">
        <f t="shared" si="1"/>
        <v>3</v>
      </c>
      <c r="D74" s="7">
        <f t="shared" si="9"/>
        <v>2.8958719642223065</v>
      </c>
      <c r="E74" s="9">
        <f t="shared" si="10"/>
        <v>3</v>
      </c>
      <c r="F74" s="15">
        <f t="shared" si="2"/>
        <v>4.2258649253266447E-4</v>
      </c>
      <c r="G74" s="26">
        <f t="shared" si="3"/>
        <v>0</v>
      </c>
      <c r="H74" s="15">
        <f t="shared" si="4"/>
        <v>9.5828786942254016</v>
      </c>
      <c r="I74" s="26">
        <f t="shared" si="5"/>
        <v>10</v>
      </c>
      <c r="J74" s="23">
        <f t="shared" si="6"/>
        <v>6.2290190565188972</v>
      </c>
      <c r="K74" s="43">
        <f t="shared" si="7"/>
        <v>6</v>
      </c>
      <c r="L74" s="30">
        <f t="shared" si="11"/>
        <v>6</v>
      </c>
      <c r="M74" s="43">
        <f t="shared" si="8"/>
        <v>5</v>
      </c>
    </row>
    <row r="75" spans="1:13" x14ac:dyDescent="0.3">
      <c r="A75" s="42">
        <v>7</v>
      </c>
      <c r="B75" s="7">
        <f t="shared" si="0"/>
        <v>1.2257810616051183</v>
      </c>
      <c r="C75" s="9">
        <f t="shared" si="1"/>
        <v>1</v>
      </c>
      <c r="D75" s="7">
        <f t="shared" si="9"/>
        <v>1.0971217784453651</v>
      </c>
      <c r="E75" s="9">
        <f t="shared" si="10"/>
        <v>1</v>
      </c>
      <c r="F75" s="15">
        <f t="shared" si="2"/>
        <v>2.5494242273822799E-5</v>
      </c>
      <c r="G75" s="26">
        <f t="shared" si="3"/>
        <v>0</v>
      </c>
      <c r="H75" s="15">
        <f t="shared" si="4"/>
        <v>5.7372103737152447</v>
      </c>
      <c r="I75" s="26">
        <f t="shared" si="5"/>
        <v>6</v>
      </c>
      <c r="J75" s="23">
        <f t="shared" si="6"/>
        <v>3.729195665899705</v>
      </c>
      <c r="K75" s="43">
        <f t="shared" si="7"/>
        <v>4</v>
      </c>
      <c r="L75" s="30">
        <f t="shared" si="11"/>
        <v>3</v>
      </c>
      <c r="M75" s="43">
        <f t="shared" si="8"/>
        <v>4</v>
      </c>
    </row>
    <row r="76" spans="1:13" x14ac:dyDescent="0.3">
      <c r="A76" s="42">
        <v>8</v>
      </c>
      <c r="B76" s="7">
        <f t="shared" si="0"/>
        <v>0.41951424879501253</v>
      </c>
      <c r="C76" s="9">
        <f t="shared" si="1"/>
        <v>0</v>
      </c>
      <c r="D76" s="7">
        <f t="shared" si="9"/>
        <v>0.36369586955463862</v>
      </c>
      <c r="E76" s="9">
        <f t="shared" si="10"/>
        <v>0</v>
      </c>
      <c r="F76" s="15">
        <f t="shared" si="2"/>
        <v>1.3483828553834843E-6</v>
      </c>
      <c r="G76" s="26">
        <f t="shared" si="3"/>
        <v>0</v>
      </c>
      <c r="H76" s="15">
        <f t="shared" si="4"/>
        <v>3.0117871486079153</v>
      </c>
      <c r="I76" s="26">
        <f t="shared" si="5"/>
        <v>3</v>
      </c>
      <c r="J76" s="23">
        <f t="shared" si="6"/>
        <v>1.9576621185291445</v>
      </c>
      <c r="K76" s="43">
        <f t="shared" si="7"/>
        <v>2</v>
      </c>
      <c r="L76" s="30">
        <f t="shared" si="11"/>
        <v>2</v>
      </c>
      <c r="M76" s="43">
        <f t="shared" si="8"/>
        <v>1</v>
      </c>
    </row>
    <row r="77" spans="1:13" x14ac:dyDescent="0.3">
      <c r="A77" s="42">
        <v>9</v>
      </c>
      <c r="B77" s="7">
        <f t="shared" si="0"/>
        <v>0.12787730956644286</v>
      </c>
      <c r="C77" s="9">
        <f t="shared" si="1"/>
        <v>0</v>
      </c>
      <c r="D77" s="7">
        <f t="shared" si="9"/>
        <v>0.10716904956210017</v>
      </c>
      <c r="E77" s="9">
        <f t="shared" si="10"/>
        <v>0</v>
      </c>
      <c r="F77" s="15">
        <f t="shared" si="2"/>
        <v>6.3510159519608376E-8</v>
      </c>
      <c r="G77" s="26">
        <f t="shared" si="3"/>
        <v>0</v>
      </c>
      <c r="H77" s="15">
        <f t="shared" si="4"/>
        <v>1.4082805718031017</v>
      </c>
      <c r="I77" s="26">
        <f t="shared" si="5"/>
        <v>1</v>
      </c>
      <c r="J77" s="23">
        <f t="shared" si="6"/>
        <v>0.91538239390057208</v>
      </c>
      <c r="K77" s="43">
        <f t="shared" si="7"/>
        <v>1</v>
      </c>
      <c r="L77" s="30">
        <f t="shared" si="11"/>
        <v>1</v>
      </c>
      <c r="M77" s="43">
        <f t="shared" si="8"/>
        <v>1</v>
      </c>
    </row>
    <row r="78" spans="1:13" x14ac:dyDescent="0.3">
      <c r="A78" s="43">
        <v>10</v>
      </c>
      <c r="B78" s="7">
        <f t="shared" si="0"/>
        <v>3.515002239855302E-2</v>
      </c>
      <c r="C78" s="9">
        <f t="shared" si="1"/>
        <v>0</v>
      </c>
      <c r="D78" s="7">
        <f t="shared" si="9"/>
        <v>2.8421231943868967E-2</v>
      </c>
      <c r="E78" s="9">
        <f t="shared" si="10"/>
        <v>0</v>
      </c>
      <c r="F78" s="27">
        <f t="shared" si="2"/>
        <v>2.6971204286768352E-9</v>
      </c>
      <c r="G78" s="28">
        <f t="shared" si="3"/>
        <v>0</v>
      </c>
      <c r="H78" s="27">
        <f t="shared" si="4"/>
        <v>0.59384244956779586</v>
      </c>
      <c r="I78" s="28">
        <f t="shared" si="5"/>
        <v>1</v>
      </c>
      <c r="J78" s="11">
        <f t="shared" si="6"/>
        <v>0.38599759316305948</v>
      </c>
      <c r="K78" s="13">
        <f t="shared" si="7"/>
        <v>0</v>
      </c>
      <c r="L78" s="31">
        <f t="shared" si="11"/>
        <v>0</v>
      </c>
      <c r="M78" s="13">
        <f t="shared" si="8"/>
        <v>1</v>
      </c>
    </row>
    <row r="79" spans="1:13" x14ac:dyDescent="0.3">
      <c r="A79" s="8" t="s">
        <v>5</v>
      </c>
      <c r="B79" s="8"/>
      <c r="C79" s="74">
        <v>1</v>
      </c>
      <c r="D79" s="8"/>
      <c r="E79" s="74">
        <v>1</v>
      </c>
      <c r="F79" s="10"/>
      <c r="G79" s="75">
        <v>0.35</v>
      </c>
      <c r="H79" s="10"/>
      <c r="I79" s="75">
        <v>0.65</v>
      </c>
      <c r="J79" s="8"/>
      <c r="K79" s="8"/>
      <c r="L79" s="8"/>
      <c r="M79" s="13"/>
    </row>
    <row r="80" spans="1:13" x14ac:dyDescent="0.3">
      <c r="A80" s="8" t="s">
        <v>7</v>
      </c>
      <c r="B80" s="8"/>
      <c r="C80" s="8">
        <f>SUM(C68:C78)</f>
        <v>85</v>
      </c>
      <c r="D80" s="8"/>
      <c r="E80" s="8">
        <f>SUM(E68:E78)</f>
        <v>85</v>
      </c>
      <c r="F80" s="8"/>
      <c r="G80" s="8">
        <f>SUM(G68:G78)</f>
        <v>85</v>
      </c>
      <c r="H80" s="8"/>
      <c r="I80" s="8">
        <f>SUM(I68:I78)</f>
        <v>85</v>
      </c>
      <c r="J80" s="8"/>
      <c r="K80" s="8">
        <f>SUM(K68:K78)</f>
        <v>85</v>
      </c>
      <c r="L80" s="8">
        <f>SUM(L68:L78)</f>
        <v>85</v>
      </c>
      <c r="M80" s="8">
        <f>SUM(M68:M78)</f>
        <v>85</v>
      </c>
    </row>
    <row r="81" spans="1:19" ht="19.8" x14ac:dyDescent="0.35">
      <c r="A81" s="58" t="s">
        <v>39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</row>
    <row r="82" spans="1:19" ht="19.8" x14ac:dyDescent="0.35">
      <c r="A82" s="79" t="s">
        <v>37</v>
      </c>
    </row>
    <row r="83" spans="1:19" ht="19.8" x14ac:dyDescent="0.35">
      <c r="A83" s="79" t="s">
        <v>26</v>
      </c>
    </row>
    <row r="84" spans="1:19" ht="18" x14ac:dyDescent="0.35">
      <c r="A84" s="58" t="s">
        <v>38</v>
      </c>
    </row>
    <row r="85" spans="1:19" ht="19.8" x14ac:dyDescent="0.35">
      <c r="A85" s="58" t="s">
        <v>27</v>
      </c>
    </row>
    <row r="86" spans="1:19" ht="18" x14ac:dyDescent="0.35">
      <c r="A86" s="58" t="s">
        <v>25</v>
      </c>
    </row>
    <row r="87" spans="1:19" ht="19.8" x14ac:dyDescent="0.35">
      <c r="A87" s="58" t="s">
        <v>28</v>
      </c>
    </row>
    <row r="89" spans="1:19" ht="16.2" thickBot="1" x14ac:dyDescent="0.35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</row>
    <row r="90" spans="1:19" ht="16.2" thickTop="1" x14ac:dyDescent="0.3"/>
    <row r="101" spans="10:15" s="40" customFormat="1" x14ac:dyDescent="0.3">
      <c r="O101" s="42"/>
    </row>
    <row r="102" spans="10:15" s="40" customFormat="1" x14ac:dyDescent="0.3">
      <c r="O102" s="42"/>
    </row>
    <row r="103" spans="10:15" s="40" customFormat="1" x14ac:dyDescent="0.3">
      <c r="O103" s="42"/>
    </row>
    <row r="104" spans="10:15" s="40" customFormat="1" x14ac:dyDescent="0.3"/>
    <row r="105" spans="10:15" s="40" customFormat="1" x14ac:dyDescent="0.3"/>
    <row r="106" spans="10:15" s="40" customFormat="1" x14ac:dyDescent="0.3"/>
    <row r="107" spans="10:15" s="40" customFormat="1" x14ac:dyDescent="0.3"/>
    <row r="108" spans="10:15" s="40" customFormat="1" x14ac:dyDescent="0.3"/>
    <row r="109" spans="10:15" s="40" customFormat="1" x14ac:dyDescent="0.3"/>
    <row r="110" spans="10:15" s="40" customFormat="1" x14ac:dyDescent="0.3">
      <c r="J110" s="1"/>
    </row>
    <row r="111" spans="10:15" s="40" customFormat="1" x14ac:dyDescent="0.3"/>
    <row r="112" spans="10:15" s="40" customFormat="1" x14ac:dyDescent="0.3"/>
    <row r="113" spans="2:10" s="40" customFormat="1" x14ac:dyDescent="0.3"/>
    <row r="114" spans="2:10" s="40" customFormat="1" x14ac:dyDescent="0.3"/>
    <row r="115" spans="2:10" s="40" customFormat="1" x14ac:dyDescent="0.3"/>
    <row r="116" spans="2:10" s="40" customFormat="1" x14ac:dyDescent="0.3"/>
    <row r="117" spans="2:10" s="40" customFormat="1" x14ac:dyDescent="0.3"/>
    <row r="118" spans="2:10" s="40" customFormat="1" x14ac:dyDescent="0.3"/>
    <row r="119" spans="2:10" s="40" customFormat="1" x14ac:dyDescent="0.3">
      <c r="B119" s="3"/>
      <c r="C119" s="4"/>
    </row>
    <row r="120" spans="2:10" s="40" customFormat="1" x14ac:dyDescent="0.3">
      <c r="B120" s="3"/>
      <c r="C120" s="4"/>
      <c r="J120" s="1"/>
    </row>
    <row r="121" spans="2:10" s="40" customFormat="1" x14ac:dyDescent="0.3">
      <c r="B121" s="3"/>
      <c r="C121" s="4"/>
    </row>
    <row r="122" spans="2:10" s="40" customFormat="1" x14ac:dyDescent="0.3">
      <c r="B122" s="3"/>
      <c r="C122" s="4"/>
    </row>
    <row r="123" spans="2:10" s="40" customFormat="1" x14ac:dyDescent="0.3">
      <c r="B123" s="3"/>
      <c r="C123" s="4"/>
    </row>
    <row r="124" spans="2:10" s="40" customFormat="1" x14ac:dyDescent="0.3">
      <c r="B124" s="3"/>
      <c r="C124" s="4"/>
    </row>
    <row r="125" spans="2:10" s="40" customFormat="1" x14ac:dyDescent="0.3">
      <c r="B125" s="3"/>
      <c r="C125" s="4"/>
    </row>
    <row r="126" spans="2:10" s="40" customFormat="1" x14ac:dyDescent="0.3">
      <c r="B126" s="3"/>
      <c r="C126" s="4"/>
    </row>
    <row r="127" spans="2:10" s="40" customFormat="1" x14ac:dyDescent="0.3">
      <c r="B127" s="3"/>
      <c r="C127" s="4"/>
    </row>
    <row r="128" spans="2:10" s="40" customFormat="1" x14ac:dyDescent="0.3">
      <c r="B128" s="3"/>
      <c r="C128" s="4"/>
    </row>
    <row r="129" spans="2:10" s="40" customFormat="1" x14ac:dyDescent="0.3">
      <c r="B129" s="3"/>
      <c r="C129" s="4"/>
    </row>
    <row r="130" spans="2:10" s="40" customFormat="1" x14ac:dyDescent="0.3">
      <c r="B130" s="3"/>
      <c r="C130" s="4"/>
    </row>
    <row r="131" spans="2:10" s="40" customFormat="1" x14ac:dyDescent="0.3">
      <c r="B131" s="3"/>
      <c r="C131" s="4"/>
    </row>
    <row r="132" spans="2:10" s="40" customFormat="1" x14ac:dyDescent="0.3">
      <c r="B132" s="3"/>
      <c r="C132" s="4"/>
    </row>
    <row r="133" spans="2:10" s="40" customFormat="1" x14ac:dyDescent="0.3">
      <c r="B133" s="3"/>
      <c r="C133" s="4"/>
    </row>
    <row r="134" spans="2:10" s="40" customFormat="1" x14ac:dyDescent="0.3">
      <c r="B134" s="3"/>
      <c r="C134" s="4"/>
      <c r="J134" s="1"/>
    </row>
    <row r="135" spans="2:10" s="40" customFormat="1" x14ac:dyDescent="0.3">
      <c r="B135" s="3"/>
      <c r="C135" s="4"/>
    </row>
    <row r="136" spans="2:10" s="40" customFormat="1" x14ac:dyDescent="0.3">
      <c r="B136" s="3"/>
      <c r="C136" s="4"/>
    </row>
    <row r="137" spans="2:10" s="40" customFormat="1" x14ac:dyDescent="0.3">
      <c r="B137" s="3"/>
      <c r="C137" s="4"/>
    </row>
    <row r="138" spans="2:10" s="40" customFormat="1" x14ac:dyDescent="0.3">
      <c r="B138" s="3"/>
      <c r="C138" s="4"/>
    </row>
    <row r="139" spans="2:10" s="40" customFormat="1" x14ac:dyDescent="0.3">
      <c r="B139" s="3"/>
      <c r="C139" s="4"/>
      <c r="G139" s="1"/>
    </row>
    <row r="140" spans="2:10" s="40" customFormat="1" x14ac:dyDescent="0.3">
      <c r="B140" s="3"/>
      <c r="C140" s="4"/>
    </row>
    <row r="141" spans="2:10" s="40" customFormat="1" x14ac:dyDescent="0.3">
      <c r="B141" s="3"/>
      <c r="C141" s="4"/>
    </row>
    <row r="142" spans="2:10" s="40" customFormat="1" x14ac:dyDescent="0.3">
      <c r="B142" s="3"/>
      <c r="C142" s="4"/>
    </row>
    <row r="143" spans="2:10" s="40" customFormat="1" x14ac:dyDescent="0.3">
      <c r="B143" s="3"/>
      <c r="C143" s="4"/>
    </row>
    <row r="144" spans="2:10" s="40" customFormat="1" x14ac:dyDescent="0.3">
      <c r="B144" s="3"/>
      <c r="C144" s="4"/>
    </row>
    <row r="145" spans="2:7" s="40" customFormat="1" x14ac:dyDescent="0.3">
      <c r="B145" s="3"/>
      <c r="C145" s="4"/>
    </row>
    <row r="146" spans="2:7" s="40" customFormat="1" x14ac:dyDescent="0.3">
      <c r="B146" s="3"/>
      <c r="C146" s="4"/>
    </row>
    <row r="147" spans="2:7" s="40" customFormat="1" x14ac:dyDescent="0.3">
      <c r="B147" s="3"/>
      <c r="C147" s="4"/>
    </row>
    <row r="148" spans="2:7" s="40" customFormat="1" x14ac:dyDescent="0.3">
      <c r="B148" s="3"/>
      <c r="C148" s="4"/>
    </row>
    <row r="149" spans="2:7" s="40" customFormat="1" x14ac:dyDescent="0.3">
      <c r="B149" s="3"/>
      <c r="C149" s="4"/>
      <c r="G149" s="1"/>
    </row>
    <row r="150" spans="2:7" s="40" customFormat="1" x14ac:dyDescent="0.3">
      <c r="B150" s="3"/>
      <c r="C150" s="4"/>
    </row>
    <row r="151" spans="2:7" s="40" customFormat="1" x14ac:dyDescent="0.3">
      <c r="B151" s="3"/>
      <c r="C151" s="4"/>
    </row>
    <row r="152" spans="2:7" s="40" customFormat="1" x14ac:dyDescent="0.3">
      <c r="B152" s="3"/>
      <c r="C152" s="4"/>
    </row>
    <row r="153" spans="2:7" s="40" customFormat="1" x14ac:dyDescent="0.3">
      <c r="B153" s="3"/>
      <c r="C153" s="4"/>
    </row>
    <row r="154" spans="2:7" s="40" customFormat="1" x14ac:dyDescent="0.3">
      <c r="B154" s="3"/>
      <c r="C154" s="4"/>
    </row>
    <row r="155" spans="2:7" s="40" customFormat="1" x14ac:dyDescent="0.3">
      <c r="B155" s="3"/>
      <c r="C155" s="4"/>
    </row>
    <row r="156" spans="2:7" s="40" customFormat="1" x14ac:dyDescent="0.3">
      <c r="B156" s="3"/>
      <c r="C156" s="4"/>
    </row>
    <row r="157" spans="2:7" s="40" customFormat="1" x14ac:dyDescent="0.3">
      <c r="B157" s="3"/>
      <c r="C157" s="4"/>
    </row>
    <row r="158" spans="2:7" s="40" customFormat="1" x14ac:dyDescent="0.3">
      <c r="B158" s="3"/>
      <c r="C158" s="4"/>
    </row>
    <row r="159" spans="2:7" s="40" customFormat="1" x14ac:dyDescent="0.3">
      <c r="B159" s="3"/>
      <c r="C159" s="4"/>
    </row>
    <row r="160" spans="2:7" s="40" customFormat="1" x14ac:dyDescent="0.3">
      <c r="B160" s="3"/>
      <c r="C160" s="4"/>
      <c r="F160" s="1"/>
    </row>
    <row r="161" spans="2:10" s="40" customFormat="1" x14ac:dyDescent="0.3">
      <c r="B161" s="3"/>
      <c r="C161" s="4"/>
      <c r="F161" s="1"/>
    </row>
    <row r="162" spans="2:10" s="40" customFormat="1" x14ac:dyDescent="0.3">
      <c r="B162" s="3"/>
      <c r="C162" s="4"/>
      <c r="J162" s="1"/>
    </row>
    <row r="163" spans="2:10" s="40" customFormat="1" x14ac:dyDescent="0.3">
      <c r="B163" s="3"/>
      <c r="C163" s="4"/>
      <c r="J163" s="1"/>
    </row>
    <row r="164" spans="2:10" s="40" customFormat="1" x14ac:dyDescent="0.3">
      <c r="B164" s="3"/>
      <c r="C164" s="4"/>
      <c r="J164" s="1"/>
    </row>
    <row r="165" spans="2:10" s="40" customFormat="1" x14ac:dyDescent="0.3">
      <c r="B165" s="3"/>
      <c r="C165" s="4"/>
      <c r="J165" s="1"/>
    </row>
    <row r="166" spans="2:10" s="40" customFormat="1" x14ac:dyDescent="0.3">
      <c r="B166" s="3"/>
      <c r="C166" s="4"/>
      <c r="J166" s="1"/>
    </row>
    <row r="167" spans="2:10" s="40" customFormat="1" x14ac:dyDescent="0.3">
      <c r="B167" s="3"/>
      <c r="C167" s="4"/>
      <c r="J167" s="1"/>
    </row>
    <row r="168" spans="2:10" s="40" customFormat="1" x14ac:dyDescent="0.3">
      <c r="B168" s="3"/>
      <c r="C168" s="4"/>
    </row>
    <row r="169" spans="2:10" s="40" customFormat="1" x14ac:dyDescent="0.3">
      <c r="B169" s="3"/>
      <c r="C169" s="4"/>
    </row>
    <row r="170" spans="2:10" s="40" customFormat="1" x14ac:dyDescent="0.3">
      <c r="B170" s="3"/>
      <c r="C170" s="4"/>
      <c r="F170" s="1"/>
      <c r="G170" s="1"/>
    </row>
    <row r="171" spans="2:10" s="40" customFormat="1" x14ac:dyDescent="0.3">
      <c r="B171" s="3"/>
      <c r="C171" s="4"/>
    </row>
    <row r="172" spans="2:10" s="40" customFormat="1" x14ac:dyDescent="0.3">
      <c r="B172" s="3"/>
      <c r="C172" s="4"/>
    </row>
    <row r="173" spans="2:10" s="40" customFormat="1" x14ac:dyDescent="0.3">
      <c r="B173" s="3"/>
      <c r="C173" s="4"/>
    </row>
    <row r="174" spans="2:10" s="40" customFormat="1" x14ac:dyDescent="0.3">
      <c r="B174" s="3"/>
      <c r="C174" s="4"/>
      <c r="F174" s="1"/>
    </row>
    <row r="175" spans="2:10" s="40" customFormat="1" x14ac:dyDescent="0.3">
      <c r="B175" s="3"/>
      <c r="C175" s="4"/>
    </row>
    <row r="176" spans="2:10" s="40" customFormat="1" x14ac:dyDescent="0.3">
      <c r="B176" s="3"/>
      <c r="C176" s="4"/>
    </row>
    <row r="177" spans="2:9" s="40" customFormat="1" x14ac:dyDescent="0.3">
      <c r="B177" s="3"/>
      <c r="C177" s="4"/>
    </row>
    <row r="178" spans="2:9" s="40" customFormat="1" x14ac:dyDescent="0.3">
      <c r="B178" s="3"/>
      <c r="C178" s="4"/>
      <c r="G178" s="1"/>
    </row>
    <row r="179" spans="2:9" s="40" customFormat="1" x14ac:dyDescent="0.3">
      <c r="B179" s="3"/>
      <c r="C179" s="4"/>
    </row>
    <row r="180" spans="2:9" s="40" customFormat="1" x14ac:dyDescent="0.3">
      <c r="B180" s="3"/>
      <c r="C180" s="4"/>
      <c r="I180" s="1"/>
    </row>
    <row r="181" spans="2:9" s="40" customFormat="1" x14ac:dyDescent="0.3">
      <c r="B181" s="3"/>
      <c r="C181" s="4"/>
      <c r="F181" s="1"/>
      <c r="G181" s="1"/>
      <c r="H181" s="1"/>
      <c r="I181" s="1"/>
    </row>
    <row r="182" spans="2:9" s="40" customFormat="1" x14ac:dyDescent="0.3">
      <c r="C182" s="4"/>
      <c r="D182" s="1"/>
      <c r="F182" s="1"/>
      <c r="G182" s="1"/>
      <c r="H182" s="1"/>
      <c r="I182" s="1"/>
    </row>
    <row r="183" spans="2:9" s="40" customFormat="1" x14ac:dyDescent="0.3">
      <c r="C183" s="4"/>
      <c r="D183" s="1"/>
      <c r="F183" s="1"/>
      <c r="G183" s="1"/>
      <c r="H183" s="1"/>
      <c r="I183" s="1"/>
    </row>
    <row r="184" spans="2:9" s="40" customFormat="1" x14ac:dyDescent="0.3">
      <c r="C184" s="4"/>
    </row>
    <row r="185" spans="2:9" s="40" customFormat="1" x14ac:dyDescent="0.3">
      <c r="C185" s="4"/>
    </row>
    <row r="186" spans="2:9" s="40" customFormat="1" x14ac:dyDescent="0.3">
      <c r="C186" s="1"/>
    </row>
    <row r="187" spans="2:9" s="40" customFormat="1" x14ac:dyDescent="0.3">
      <c r="C187" s="1"/>
    </row>
    <row r="188" spans="2:9" s="40" customFormat="1" x14ac:dyDescent="0.3"/>
    <row r="189" spans="2:9" s="40" customFormat="1" x14ac:dyDescent="0.3"/>
    <row r="190" spans="2:9" s="40" customFormat="1" x14ac:dyDescent="0.3"/>
  </sheetData>
  <mergeCells count="3">
    <mergeCell ref="F66:K66"/>
    <mergeCell ref="B66:C66"/>
    <mergeCell ref="D66:E66"/>
  </mergeCells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Loeb Lab</dc:creator>
  <cp:lastModifiedBy>Alan Herr</cp:lastModifiedBy>
  <cp:lastPrinted>2014-05-20T23:08:28Z</cp:lastPrinted>
  <dcterms:created xsi:type="dcterms:W3CDTF">2013-11-11T21:09:10Z</dcterms:created>
  <dcterms:modified xsi:type="dcterms:W3CDTF">2015-02-13T01:59:47Z</dcterms:modified>
</cp:coreProperties>
</file>